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ải thiện chất lượng" sheetId="1" r:id="rId5"/>
    <sheet state="visible" name="Dự án khác" sheetId="2" r:id="rId6"/>
    <sheet state="visible" name="Bộ ef" sheetId="3" r:id="rId7"/>
  </sheets>
  <definedNames>
    <definedName hidden="1" localSheetId="2" name="_xlnm._FilterDatabase">'Bộ ef'!$A$2:$Z$225</definedName>
  </definedNames>
  <calcPr/>
</workbook>
</file>

<file path=xl/sharedStrings.xml><?xml version="1.0" encoding="utf-8"?>
<sst xmlns="http://schemas.openxmlformats.org/spreadsheetml/2006/main" count="1741" uniqueCount="1238">
  <si>
    <t>Người làm gốc</t>
  </si>
  <si>
    <t>Prompt làm ảnh</t>
  </si>
  <si>
    <t>Câu lệnh viết prompt để ren video</t>
  </si>
  <si>
    <t>Prompt sử dụng để ren</t>
  </si>
  <si>
    <t>Trang</t>
  </si>
  <si>
    <t>- tạo cho tôi hình ảnh mùa đong ở tấm ảnh trên, giữ nguyên kích thước ảnh, góc cam, cảnh vật, chỉ thêm những chi tiết khiến không gian giống mùa đông
- https://gemini.google.com/share/7093a83f46ac</t>
  </si>
  <si>
    <t>viết prompt tạo video từ ảnh, tôi dùng envato, tạo video chuyển cảnh từ xa đến gần, từ ảnh 1 (mùa đông lạnh giá) sang ảnh 2 (không gian sang phong cách mùa xuân, bụi cây nở hoa, lá mọc xanh tươi, cỏ chuyển sang màu xanh, hoa đua nhau nở. Trước nhà có vài cây crepe myrtle, bãi cỏ xanh, bụi cây rậm rạp), chuyển cảnh liền mạch, không bị flicker, cinematic, cloud time-lapse hyperlapse, camera giữ cố định</t>
  </si>
  <si>
    <t>Create a seamless cinematic image-to-video transition starting from Image 1 (cold winter) to Image 2 (luxurious spring atmosphere).
The camera remains fixed in position, but the scene transitions visually from a distant wide view gradually moving closer, creating a natural depth progression without camera shake or repositioning.
The environment slowly transforms from winter to spring:
– Snow and cold tones gently fade away
– The sky becomes brighter with soft cloud time-lapse hyperlapse motion
– Grass smoothly changes from pale winter brown to vibrant green
– Bushes grow denser, fresh green leaves sprout naturally
– Flowers bloom gradually across the landscape
– Several crepe myrtle trees in front of the house begin to leaf out and blossom softly
– The lawn becomes lush green, shrubs appear full and healthy
The transition must be fluid, continuous, and perfectly smooth, with no flickering, no abrupt cuts, no added elements.
Maintain the original image composition and architecture exactly.
Lighting shifts naturally from cold winter light to warm spring sunlight.
Cinematic realism, high detail, natural motion, hyper-smooth seasonal transformation.</t>
  </si>
  <si>
    <t>Hoài</t>
  </si>
  <si>
    <t>https://gemini.google.com/share/ad8717c07dd7</t>
  </si>
  <si>
    <t>Viết prompt tạo video từ ảnh bằng envato. Tạo video từ hình ảnh một bể nước đang không có nước dần được bơm nước và bể, góc quay cố định, tạo cảm giác như bể nước đang tự lấp đầy không gian bể bằng nước</t>
  </si>
  <si>
    <t>Create a realistic, cinematic video from the provided image of an empty water tank. The tank gradually fills with clear water, rising smoothly and continuously from the bottom upward, as if the water is naturally pumping in and filling the entire volume of the tank.
The water surface slowly elevates in a steady motion, forming gentle ripples and subtle reflections on the tank walls. The filling process feels calm, natural, and seamless, without splashing or turbulence.
Maintain a fixed camera angle with no movement, no zoom, no pan, and no shake. Preserve the original structure, proportions, and materials of the tank exactly as in the input image.
Lighting remains stable and realistic, with soft reflections and refractions as the water level rises. No flickering lights, no sudden jumps, and no visual artifacts.
The overall effect should create the illusion that the tank is autonomously filling itself with water in a smooth, continuous, and believable manner. Cinematic realism, clean motion, smooth transition.</t>
  </si>
  <si>
    <t>viết promt để generate ảnh thành video trên higgsfield.ai, dúng hiệu ứng  building explosion tạo video căn nhà bị nổ tung, góc cam cố định, máy quay không di chuyển, máy quay không rung lắc, không chớp nháy</t>
  </si>
  <si>
    <t>Using the “building explosion” effect.
Create a cinematic transformation where the house suddenly bursts apart into flying debris and dust, in a dramatic but clean visual effect.
The structure breaks outward smoothly, with dust and fragments expanding naturally.
Camera is completely fixed — no movement, no pan, no zoom.
No camera shake.
No screen flicker or flashing.
Keep original framing and background unchanged.
No people visible.
No extra objects added.
Motion is smooth, realistic, and visually clear.</t>
  </si>
  <si>
    <t>Mai Anh</t>
  </si>
  <si>
    <t>Mai anh</t>
  </si>
  <si>
    <t>https://gemini.google.com/share/d008d267c7bd</t>
  </si>
  <si>
    <t>viết prompt tạo video từ ảnh, tôi dùng envato tạo video các quân cờ có sẵn trên bàn cờ chuyển động lần lượt (không được thêm bất kỳ quân cờ nào khác ngoài những quân cờ có sẵn(, 1 quân đen sẽ đánh lên trước rồi đến 1 quân màu còn lại đánh, rồi lặp lại 1 quân đen khác chuyển động rồi đến một quân màu còn lại chuyển động. Các quân cờ trên bàn cờ không được biến mất mà chỉ di chuyển, không được làm thay đổi màu sắc của các quân cờ. Mỗi lần chỉ có duy nhất 1 quân chuyển động, . Người xuất hiện trong video cũng sẽ phải chuyển động tay , đầu nhẹ nhàng (người không di chuyển), góc cam cố định, không rung lắc, không chớp nháy, không thêm bất kỳ chi tiết nào khác ngoài chuyển động của người và quân cờ</t>
  </si>
  <si>
    <t>Create a realistic and stable video from the provided image.
Only the existing chess pieces already present on the chessboard are allowed to move.
Do NOT add, remove, duplicate, or generate any new chess pieces.
All chess pieces must keep their original shape, size, and color; no color changes are allowed.
Chess piece movement follows a clear turn-based sequence:
– First, exactly one black chess piece moves to a new position.
– Then, exactly one piece of the other color moves.
– Repeat this pattern: one black piece moves, then one opposing piece moves.
At any moment, only one single chess piece is allowed to move.
No other chess pieces move simultaneously.
Chess pieces never disappear; they only slide naturally from one square to another.
Movements are smooth, realistic, and physically believable, without jumping or teleporting.
The people visible in the scene remain in the same position but show subtle, natural movements such as gentle hand motion, slight head movement, or natural breathing.
People do not walk or change position.
Camera remains completely fixed and locked throughout the video.
No camera shake, no zoom, no pan, no tilt.
Motion speed is calm, controlled, and natural.
Maintain the original image composition, background, lighting, and environment exactly as the source image.
No flickering, no flashing, no jitter, no visual artifacts.
Do not add any new objects, effects, or details beyond the movement of the chess pieces and subtle human motion.
High realism, smooth transitions, stable frames, cinematic quality.</t>
  </si>
  <si>
    <t>" tạo cho tôi đồ nội thât Phòng ngủ khách luxury (staged) , các chi tiết khác giữ nguyên, tuyệt đối không làm thay đổi kích thước 9:16 của ảnh gốc, góc cam cố định, không thay đổi kết cấu của tường, không thay đổi kết cấu của cửa sổ, tuyệt đối không được thay đổi góc cam và kết cấu gốc của căn phòng
tạo cho tôi hình ảnh với yêu cầu: Sofa và 1–2 ghế ngồi được set up sẵn, 3 người bạn đang tận hưởng thời gian cùng nhau (khác sắc tộc),Một người đang cầm hoặc bưng khay đồ ăn nhẹ (charcuterie board, snack, ly rượu vang, v.v.)các chi tiết khác của ảnh giữ nguyên, tuyệt đối không thay đổi kích thước 9:16 của ảnh, góc cam cố định
tạo hình ảnh Gia đình châu Á gồm: bố, mẹ và 3 con, Mẹ ngồi trên sofa cùng 1 bé, Bố ngồi dưới sàn chơi với 2 bé còn lại, các chi tiết khác của ảnh giữ nguyên, tuyệt đối không thay đổi kích thước 9:16 của ảnh, góc cam cố định, cho da tất cả đều là da trắng
tạo hình ảnh Bàn ăn được set dưới đèn chùm 4 bóng, Gia đình nhỏ 4 người đang ăn tối cùng nhau, các chi tiết khác của ảnh giữ nguyên, tuyệt đối không thay đổi kích thước 9:16 của ảnh, góc cam cố định, tôi muốn bàn ăn hiện đại cùng tone với màu bếp
tạo hình ảnh Phòng ngủ master theo Phong cách sang trọng – hiện đại – đã staging, Ghế bench nhỏ đặt cuối giường, Ánh đèn mood (ấm), quạt trần vẫn quay, Vợ chồng ngồi trên bench, Chồng đang mang giày hoặc chuẩn bị gì đó→ Cảm giác “chuẩn bị cho buổi hẹn hò buổi tối”,các chi tiết khác của ảnh giữ nguyên, tuyệt đối không thay đổi kích thước 9:16 của ảnh, góc cam cố định,không được thay đổi kết cấu của tường, không được thay đổi kết cấu của cửa
"</t>
  </si>
  <si>
    <t>"viết prompt tạo video từ ảnh, tôi dùng higgsfield.ai và hiệu ứng general, tôi muốn tạo video nội thất  xuất hiện từ căn phòng trống, video sẽ bắt đầu từ căn phòng trống ảnh 1 sau đó đồ nội thất sẽ xuất hiện đồng thời ra ở ảnh 2, máy quay giữ cố định không di chuyển, góc cam cố định. Đặc biệt các đồ nội thất phải xuất hiện ra đồng thời, chuyển động xuất hiện không quá nhanh, không quá chậm, liền mạch, không rung lắc, không chớp nháy, quạt giữ nguyên không được quay
viết prompt tạo video từ ảnh, tôi dùng higgsfield.ai và hiệu ứng general 2.6 tạo video 3 người bạn đang ngồi nói chuyện vui vẻ, máy quay giữ nguyên không di chuyển, góc cam cố định, không rung lắc, chuyển động người nhẹ nhàng, mượt mà, không lỗi mặt
viết prompt tạo video từ ảnh, tôi dùng higgsfield.ai và hiệu ứng general 2.6 tạo video Một nhóm bạn đang tụ tập quanh đảo bếp, Có người đang nấu ăn, Mọi người cụng ly, cười nói vui vẻ, máy quay giữ nguyên không di chuyển, góc cam cố định, không rung lắc, chuyển động người nhẹ nhàng, mượt mà, không lỗi mặt
viết prompt tạo video từ ảnh, tôi dùng higgsfield.ai và hiệu ứng general 2.6 tạo video một gia đình Gia đình châu Á gồm: bố, mẹ và 3 con Mẹ ngồi trên sofa cùng 1 bé Bố ngồi dưới sàn chơi với 2 bé còn lại , máy quay giữ nguyên không di chuyển, góc cam cố định, không rung lắc, chuyển động người nhẹ nhàng, mượt mà, không lỗi mặt
viết prompt tạo video từ ảnh, tôi dùng higgsfield.ai và hiệu ứng general 2.6 tạo video một gia đình đang ăn tối vui vẻ ở phòng ăn, máy quay giữ nguyên không di chuyển, góc cam cố định, không rung lắc, chuyển động người nhẹ nhàng, mượt mà, không lỗi mặt
viết prompt tạo video từ ảnh, tôi dùng higgsfield.ai và hiệu ứng general, tôi muốn tạo video nội thất  xuất hiện từ căn phòng trống, video sẽ bắt đầu từ căn phòng trống ảnh 1 sau đó đồ nội thất sẽ xuất hiện đồng thời ra ở ảnh 2, máy quay giữ cố định không di chuyển, góc cam cố định. Đặc biệt các đồ nội thất phải xuất hiện ra đồng thời, chuyển động xuất hiện không quá nhanh, không quá chậm, liền mạch, không rung lắc, không chớp nháy,
viết prompt tạo video từ ảnh, tôi dùng higgsfield.ai và hiệu ứng general 2.6 tạo video vợ chồng   ngồi trên bench, Chồng đang mang giày hoặc chuẩn bị gì đó→ Cảm giác “chuẩn bị cho buổi hẹn hò buổi tối quạt trần vẫn quay, máy quay giữ nguyên không di chuyển, góc cam cố định, không rung lắc, chuyển động người nhẹ nhàng, mượt mà, không lỗi mặt"</t>
  </si>
  <si>
    <t>"""Create a smooth video of an interior room transforming from empty to fully furnished. Start with the empty room (image 1) and gradually show all furniture and interior elements appearing simultaneously as in image 2. Ensure all objects appear at the same time, with medium-speed, natural, and seamless motion. Camera remains fixed, angle stays constant, no shaking, no flickering. Ceiling fan and other movable objects must stay still and not rotate. The animation should be realistic, fluid, and visually consistent.""
A realistic cinematic video generated from the input image.
Scene: Three friends sitting together, happily chatting and smiling.
They make gentle natural movements: slight head turns, small hand gestures, soft laughter.
Facial expressions stay stable, clear, and undistorted. No face glitches, no morphing.
Camera: fixed camera, fixed angle, no zoom, no pan, no tilt.
The frame remains perfectly stable throughout. No shaking, no flicker.
Motion: human movements are smooth, subtle, continuous — not too fast, not too slow.
No sudden jumps. No unnatural body deformation.
Lighting: consistent lighting, no brightness flicker.
Background remains unchanged.
Style: realistic, high detail, natural motion, clean output.
Duration: smooth continuous action for the whole clip.
A realistic cinematic video generated from the input image.
Scene: A group of friends gathered around a kitchen island.
One person is cooking at the counter while others stand nearby.
They raise their glasses to toast, smiling and laughing together.
Human motion: gentle natural movements — small hand gestures, slight body shifts, soft laughter.
Movements are smooth, continuous, not too fast, not too slow.
Faces remain clear and stable — no face distortion, no morphing, no glitches.
Camera: fixed camera, fixed angle, no movement.
No zoom, no pan, no tilt.
Frame remains perfectly steady — no shaking, no flicker.
Lighting: consistent indoor lighting, stable exposure.
Background remains unchanged.
Style: realistic, high detail, smooth natural animation.
A realistic cinematic video generated from the input image.
Scene: An Asian family of five — father, mother, and three children.
The mother sits on the sofa holding one child.
The father sits on the floor playing with the other two children in front of the sofa.
They smile and interact happily.
Children make small playful movements.
Parents show gentle, caring gestures.
Human motion is soft, natural, and continuous — not too fast, not too slow.
Faces remain clear, stable, and well-formed — no face distortion, no glitches, no morphing.
Camera: fixed camera, fixed angle, no movement.
No zoom, no pan, no tilt.
Frame remains perfectly steady — no shaking, no flicker.
Lighting: warm indoor lighting, stable and consistent.
Background remains unchanged.
Style: realistic, high detail, smooth natural animation, clean output.
A realistic cinematic video generated from the input image.
Scene: A family sitting together at a dining table, enjoying dinner.
They smile, talk, and share food happily.
Small natural gestures: lifting utensils, passing dishes, gentle head movements.
Human motion is smooth, soft, and continuous — not too fast, not too slow.
Faces remain clear, stable, and well-formed — no glitches, no distortion, no morphing.
Camera: fixed camera, fixed angle, no movement.
No zoom, no pan, no tilt.
Frame remains perfectly steady — no shaking, no flicker.
Lighting: warm indoor dining light, stable exposure.
Background remains unchanged.
Style: realistic, high detail, natural animation, clean output.
A realistic cinematic video generated from the input image.
Scene: A couple sitting on a bench.
The husband is bending slightly to put on his shoes or adjusting his outfit, preparing to go out.
The wife sits beside him, watching with a gentle smile.
The mood feels like they are preparing for an evening date.
A ceiling fan above continues spinning steadily.
Human motion: soft, natural, subtle movements — small body shifts, gentle hand motions, slight head turns.
Motion is smooth and continuous — not too fast, not too slow.
Faces remain clear, stable, and well-formed — no face distortion, no glitches, no morphing.
Camera: fixed camera, fixed angle, no movement.
No zoom, no pan, no tilt.
Frame remains perfectly steady — no shaking, no flicker.
Lighting: warm indoor lighting, consistent and stable.
Background remains unchanged.
Style: realistic, high detail, smooth natural animation, clean output."</t>
  </si>
  <si>
    <t>Sample</t>
  </si>
  <si>
    <t>Dự kiến hoàn thiện</t>
  </si>
  <si>
    <t>https://www.instagram.com/reel/DSwK_ZNCETu/?utm_source=ig_web_copy_link</t>
  </si>
  <si>
    <t>https://www.instagram.com/reel/DSAbatijSMP/?utm_source=ig_web_copy_link&amp;igsh=MzRlODBiNWFlZA==</t>
  </si>
  <si>
    <t>https://www.instagram.com/reel/DTvLS4NjO-S/?utm_source=ig_web_copy_link&amp;igsh=MzRlODBiNWFlZA==</t>
  </si>
  <si>
    <t>https://www.instagram.com/reel/DTfMBpyCJgJ/?utm_source=ig_web_copy_link&amp;igsh=MzRlODBiNWFlZA==</t>
  </si>
  <si>
    <t>Loại 1: Khách có idea, sample, nhưng ảnh raw, mình tự làm hết
Loại 2: Khách có idea, sample, ảnh output mong muốn, mình làm chuyển động</t>
  </si>
  <si>
    <t>Tên bộ ef</t>
  </si>
  <si>
    <t>Code</t>
  </si>
  <si>
    <t>Input</t>
  </si>
  <si>
    <t>Instruction</t>
  </si>
  <si>
    <t>Output</t>
  </si>
  <si>
    <t>Công cụ</t>
  </si>
  <si>
    <t xml:space="preserve">Phân loại </t>
  </si>
  <si>
    <t>Mọc nhà</t>
  </si>
  <si>
    <t>HTNOV27011Rev</t>
  </si>
  <si>
    <t>https://www.dropbox.com/scl/fi/6fs2zr8p6shxo0lc09jj4/8-Acre-Lot-1.png?rlkey=lq3v9i6wql15rl5rpamj0vcxa&amp;dl=0</t>
  </si>
  <si>
    <t>xay 1 thanh pho, sample 11s: https://www.dropbox.com/scl/fo/0morb3vy078chdizsfsi8/ADezjlC0SnP_ZSpGfRCJVb0?rlkey=zw0pq4uadadgovt5cku2tb01i&amp;dl=0</t>
  </si>
  <si>
    <t>https://www.dropbox.com/scl/fi/0qgpeo2m4o60ireh8q0du/HTNOV27011Rev.mp4?rlkey=k820ldja5ksn6rg6pkvhbiou4&amp;st=eoycrwer&amp;dl=0</t>
  </si>
  <si>
    <t>Higgsfield</t>
  </si>
  <si>
    <t>THDEC03035</t>
  </si>
  <si>
    <t>https://www.dropbox.com/scl/fo/j7os5qjeqefycfvnyc2lx/ABjCqmQHC0-5BFmtmqRsBy4?rlkey=fis2bw9xsbp9soa4pin92tpqm&amp;st=w3lcl5xk&amp;dl=0</t>
  </si>
  <si>
    <t>Overlay xuất hiện nhà, sample trong input</t>
  </si>
  <si>
    <t>https://www.dropbox.com/scl/fo/hwopo642qabbeyot6pqll/APshVG2XwkUvj7yzQl1O940?rlkey=z6t8b9uao6g5h2u4v3ff7jeey&amp;st=jeqx5hjd&amp;dl=0</t>
  </si>
  <si>
    <t>https://www.dropbox.com/scl/fi/sqp6114mj7jwj2zas0ks4/Ngang.jpg?rlkey=m449sk4u5ho1cjacfe03oobvl&amp;st=sajr6z4f&amp;dl=0</t>
  </si>
  <si>
    <t>Overlay hiện nhà giữ nguyên những ngồi nhà bên cạnh không mọc đè lên</t>
  </si>
  <si>
    <t>https://www.dropbox.com/scl/fi/yj3vpdbv7veppxgl3hktz/THDEC03035..mp4?rlkey=jeibqsugao7096vgzht7tzxbd&amp;st=g314lkgv&amp;dl=0</t>
  </si>
  <si>
    <t>TRDEC05001</t>
  </si>
  <si>
    <t>https://www.dropbox.com/scl/fo/t34i0926wlci9bwatwlcb/ALRxnGkddW_4AoAs_as_WeE?rlkey=6naytt3stmw5rsdg5ltzprmki&amp;dl=0</t>
  </si>
  <si>
    <t xml:space="preserve">ở ft agent 1 làm cho em tấm rèm AI che phủ ngôi nhà
ở ft agent 2 làm cho em mọc ngôi nhà nhỏ đã có ảnh trong input rồi ạ 
AI renovated cho living room và kitchen - nội thất phải đẹp, hiện đại và thu hút
</t>
  </si>
  <si>
    <t>https://www.dropbox.com/scl/fo/bdk665j9m9xk65hrhvp6b/APXkggdOM4eJhzCvbGvZzzA?rlkey=xyn6qhrxuy7mbd1zn2ruz1cdy&amp;st=8l2oxsg5&amp;dl=0</t>
  </si>
  <si>
    <t>TRDEC05001rev5</t>
  </si>
  <si>
    <t>https://www.dropbox.com/scl/fo/dqlgb636xav2qpwaxj1va/ALzFL5kn8lnk3NBdXnFeBiM?rlkey=zt00n62z2yikq3f632ewk480u&amp;st=1xzrgss6&amp;dl=0</t>
  </si>
  <si>
    <t>AI mọc nhà (àm 1 cái casita to hơn, 2 tầng)</t>
  </si>
  <si>
    <t>https://www.dropbox.com/scl/fi/0hbehpca4ddkhi1fan831/TRDEC05001rev5.mp4?rlkey=8lb9c4va3adfau8ainp8uszz4&amp;st=dcrd6ibn&amp;dl=0</t>
  </si>
  <si>
    <t>HTDEC11021</t>
  </si>
  <si>
    <t>https://www.dropbox.com/scl/fo/givq6no6sh6u1ao4p0twp/AKbDMsj-X2_5ZoDctJpD9J4?rlkey=ebcfrahie2htcrn8xt5wdmjrs&amp;dl=0</t>
  </si>
  <si>
    <t>Start with I92A6181 “When you can’t find your dream home, you build it” *bounce agents out of frame and start building AI home on I92A6183*
Start music at 0:00 as the AI home is being built.
AI build like this: https://www.instagram.com/p/C-T7SOZMF0r/ ,khách muốn mọc nhà</t>
  </si>
  <si>
    <t>https://www.dropbox.com/scl/fo/1g7xy8w84xpqmh0d0yomt/AGcBqYHQNOTjyuElzM6o5sY?rlkey=015dwre2j4w8ju5v7iftet3gk&amp;st=uxqfcbwp&amp;dl=0</t>
  </si>
  <si>
    <t>https://www.dropbox.com/scl/fo/vemwz1iuhut5zqrwpo6bf/AKOHRrWb1DJlB3z0bQb9I7k?rlkey=kuhoi4s90udbqzdwuy8y5leu3&amp;dl=0</t>
  </si>
  <si>
    <t>the rest of this make a VO and AI building homes on DJI_0158 * “farm homes, family estates, and upscale living.” —— I added files with images of similar examples of what im looking for.
Something like this for VO on DJI_0158. Should be 3 different houses. Farm, family estate and upscale. I added folders in file: https://www.dropbox.com/scl/fi/97zz7sx4rjwbm65fpxg3m/Video-11-12-25-11-10-19.mov?rlkey=0r314odiwuo99jha4yfag8qhb&amp;st=khvxkbyh&amp;dl=0 
tạo 3 nhà trên 1 video ạ</t>
  </si>
  <si>
    <t>CHDEC11006</t>
  </si>
  <si>
    <t>https://www.dropbox.com/scl/fo/u9cngb2pc0p5ufq8u6i4o/ACGxxI4zzyPhTZ_pnMTeE9Q?rlkey=lu5ugjasp2ig8urdmlhhocdix&amp;dl=0</t>
  </si>
  <si>
    <t>sample giây 9 gửi kèm trong input 
5. Add AI building tương tự/giống ảnh mẫu trong link khách đưa vào video nhất có thể vào 1 trong những clip khách note AI building (I included multiple angles for the AI building. Use whichever angle works best. The AI building should match the photos in the REFERENCE FOLDER) Effect giống đoạn 0:09 này: https://www.instagram.com/reel/DQmsXI4gWJS/?igsh=ZjkzdTdnOXFqY2hn</t>
  </si>
  <si>
    <t>https://www.dropbox.com/scl/fi/ite18urd6o96s70w2vnt9/CHDEC11006.mp4?rlkey=769vm52p6m19rwfjxj90mupgl&amp;st=4v24k35h&amp;dl=0</t>
  </si>
  <si>
    <t>HTDEC15006</t>
  </si>
  <si>
    <t>https://www.dropbox.com/scl/fo/rvczj583k8s9tknxck8kg/ADs2nXOlNdf-x9J26ZlHico?rlkey=o2wm0eohnoqu1oqb2tykx7t2n&amp;dl=0</t>
  </si>
  <si>
    <t>Use AI tools to create fake houses on the aerial shots.
Goal:
Show the viewer what the subdivision will look like when it is complete.
Instructions:
• Take the aerial footage.
• Add AI-generated houses on the empty lots.
• Make the houses look realistic and clean.
• Make sure the houses match the layout of the land.
• Add rivers behind the houses so people can imagine living there.
• Do not make the colors too strong. Keep the look natural.
If you do not know how to do this, use any AI tool you know
- sample nhà AI (cần làm giống): https://www.dropbox.com/scl/fi/qk95u6zmyl5lrs9w4od7o/AI-Waterlily-Elevate-Sample-nh.png?rlkey=3ezb4vz2t4nmaxz1qx4hrijcg&amp;dl=0</t>
  </si>
  <si>
    <t>https://www.dropbox.com/scl/fi/9uustoqsvsodxtwtkyyks/HTDEC15006.mp4?rlkey=p6hnwhc0uovtarha4qdx5nt8c&amp;st=csjcpmax&amp;dl=0</t>
  </si>
  <si>
    <t>HTDEC11021Rev6</t>
  </si>
  <si>
    <t>https://www.dropbox.com/scl/fo/drp0sbwfghjam0g6n3e1l/AO0AsVikg3IvUqOvLepsskk?rlkey=u6kily88etazdfq6tfab68798&amp;dl=0</t>
  </si>
  <si>
    <t>hách muốn redo AI lại nhà này và không muốn xuất hiện những vật trong vùng khoanh đỏ( khách muốn nhà như ví dụ ở link 2)
https://drive.google.com/file/d/1K5zSKBK8GxhTk-ckHS1YdMbWV6JuvA2_/view?usp=sharing
https://drive.google.com/drive/folders/16-baBemGHu7cjxEgcMPfyuyXo0rQYSSA"</t>
  </si>
  <si>
    <t>https://www.dropbox.com/scl/fi/s6mc6wlk2iy9b2yluomdf/HTDEC11021Rev6.mp4?rlkey=pwhi1mxyr0uh22w8z8l5rn91f&amp;st=tnro2l4m&amp;dl=0</t>
  </si>
  <si>
    <t>THDEC15010</t>
  </si>
  <si>
    <t>https://www.dropbox.com/scl/fo/snqypdl9cpio5m652ep83/AFI-RZ6m5lNn4YMokkFwfOE?rlkey=1s3s0iz81olxa31r3pu03cnxv&amp;dl=0</t>
  </si>
  <si>
    <t>Khách hàng muốn thêm các tòa nhà được transform (mọc lên) trên khu đất
Hiện tại trên đất đã có một căn nhà, nhưng bên cạnh nhà có một khu đất trống và khách muốn đặt thêm các tòa nhà vào khu vực đó.
Mong muốn các tòa nhà xuất hiện (pop up)
Video tham khảo (hiệu ứng tương tự tôi đã làm trước đây):
https://www.instagram.com/reel/DLNSHyYAtqR/?utm_source=ig_web_copy_link&amp;igsh=MzRlODBiNWFlZA==
Khách gợi ý thêm các yếu tố AI như:
Một vài khu condo
Chung cư / apartment
Xe công trình
Và có thể thêm một nhà kho (warehouse)</t>
  </si>
  <si>
    <t>https://www.dropbox.com/scl/fo/3da9ldv0mtm9o3mp7wu3i/ANhtSH3M-gMRaJOw0Ijs26Y?rlkey=sowr87urf90woxnqo2xcvv6la&amp;st=rjbslg4b&amp;dl=0</t>
  </si>
  <si>
    <t>CHDEC15004</t>
  </si>
  <si>
    <t>https://www.dropbox.com/scl/fo/ha2m6pgfozefryubo6op8/AOAEducomkBXkyBQVkpj1z4?rlkey=20zilttn41d3toxrixz1yk3hx&amp;dl=0</t>
  </si>
  <si>
    <t>Làm hiệu ứng xây nhà như này: https://www.dropbox.com/scl/fi/rqe5533xmrisdn0psrc2m/AI-layer-effect.mp4?rlkey=mb80zwhhepmhzf8dkn7ymnh38&amp;e=1&amp;st=b1lcp9mz&amp;dl=0
Nhà được xây cần giống như này nhất có thể: https://www.realcommercial.com.au/for-sale/property-donnybrook-plaza-10-curbridge-drive-donnybrook-vic-3064-504842060</t>
  </si>
  <si>
    <t>https://www.dropbox.com/scl/fi/9kkqqrcdde34347cnnfpo/CHDEC15004.mp4?rlkey=8jcfbcua23p0fja5wb9g1or3d&amp;st=isgcsgt2&amp;dl=0</t>
  </si>
  <si>
    <t>QUDEC16004</t>
  </si>
  <si>
    <t>https://www.dropbox.com/scl/fo/112tmcyc8pxwx3sx22g0k/AN3g8sJZgXCxWUOSCuzbLiY?rlkey=w6ji7dfziu9mytg11760n64bi&amp;dl=0</t>
  </si>
  <si>
    <t>1 “AI blow up the house” và 1 AI  AI rebuild a multi-family fourplex (AI dựng lại (thay thế) bằng một toà nhà multi-family dạng fourplex nhà 4 căn chung khối màu trắng)</t>
  </si>
  <si>
    <t>https://www.dropbox.com/scl/fo/2b8qwfc5lyrxyw95mbhb6/APZ-fQwdPLJSDEx6DxGMDV4?rlkey=m1s6swysyhedcwlernnk0x27u&amp;st=cqbmww5c&amp;dl=0</t>
  </si>
  <si>
    <t>MHDEC16004</t>
  </si>
  <si>
    <t>https://www.dropbox.com/scl/fo/adax79oiq2mt0ctowahh4/AKtDlSUdOPFJgMKii0DMD3I?rlkey=ns38iqiieop0x79i420i2e3xp&amp;dl=0</t>
  </si>
  <si>
    <t>-AI Horse Ranch: xuất hiện chuồng ngựa ở sân
-Horse ranch AI: xuất hiện chuồng ngựa
-living room AI Staged: xuất hiện bàn ghế sofa, tivi, tủ,.. ở phòng khách
-AI Staged living room: xuất hiện bàn ghế sofa, tivi, tủ,.. ở phòng khách
-dining room AI staged: xuất hiện bàn ăn (phòng ăn)
(tổng cộng order 5 AI)</t>
  </si>
  <si>
    <t>https://www.dropbox.com/scl/fo/7et97r3xjacp7mzvsq04v/AGcCCTT3AADbIZwaYbZZZwg?rlkey=cp9sg676anbub3vgy891mj89d&amp;st=i3yscohh&amp;dl=0</t>
  </si>
  <si>
    <t>VADEC17001</t>
  </si>
  <si>
    <t>https://www.dropbox.com/scl/fo/252zw59g8fidbnt87uyh0/AMSULkEFwRQifZoW7mAeOuA?rlkey=h7vgt0qggwal18q2wrsl1f2q2&amp;dl=0</t>
  </si>
  <si>
    <t>can we do an AI generated small office space that looks like its being built on the land as the video clip is playing</t>
  </si>
  <si>
    <t>https://www.dropbox.com/scl/fo/jxf5b895ohiwarkkjhuj9/AElityt1aojQ_w3YZev8CjU?rlkey=z1hek8wm6buocolriqdex0tdr&amp;st=x9e0kapu&amp;dl=0</t>
  </si>
  <si>
    <t>NGDEC20004</t>
  </si>
  <si>
    <t>https://www.dropbox.com/scl/fo/w40jrm5xoqdvre29ivzfs/AA2q_oYfm4-RhzULDVofsCY?rlkey=66jn8vi6upjvheem115rk0y8z&amp;dl=0</t>
  </si>
  <si>
    <t>Add the cars: For this last clip. Do you see road on the right side. Add the cars going on that road or know with ai ( từ trái sang phải )
appear the house: Add an AI effect to appear the house - A luxury house like wine country Temecula 
(sample: https://www.instagram.com/reel/DPRA2hgjVex/?igsh=b3FzdXJsNWJ2cWVw (giây7))</t>
  </si>
  <si>
    <t>https://www.dropbox.com/scl/fo/tpfeyc2ji0dxkd2oyok6l/AL3y9ArV12kKs-iWOw6ik0g?rlkey=ljy0iuu3ngrwhl9y7oadcgfdz&amp;st=m3dt9lc1&amp;dl=0</t>
  </si>
  <si>
    <t>Use Image 1 as the main environment: a wide open hillside land with natural dirt paths and sparse bushes,
viewed from a high-angle drone perspective.
Insert a luxury modern house inspired by Image 2 into the center of the land.
The house features modern architecture, flat roofs, clean rectangular volumes,
large glass facades, concrete and premium materials.
The house blends naturally with the terrain with minimal landscaping,
realistic scale and correct perspective matching the drone view.
Preserve the original image size, resolution, and aspect ratio.
Do NOT resize, crop, expand, or upscale the image.
Keep the exact same dimensions as Image 1.
Preserve the original camera orientation.
Ultra photorealistic, natural daylight, high detail.</t>
  </si>
  <si>
    <t>viết prompt tạo video từ ảnh bằng higgsfield.ai, ngôi nhà xuất hiện từ bãi đất trống, cam từ trái qua phải
khu đất cỏ cây um tùm nơi đồi núi
viết prompt tạo video từ ảnh bằng higgfield.ai, tôi muốn thêm chuyển động của những chiếc xe trên con đường lái xe góc phải ảnh</t>
  </si>
  <si>
    <t>A lush, overgrown land in a mountainous area, covered with wild grass, bushes, and scattered plants.
From the center of the scene, the vegetation subtly parts and a modern house gradually emerges from the ground, forming step by step — foundation, walls, roof, and details — blending naturally into the surrounding hillside.
Light soil movement and minimal dust, realistic interaction with grass and terrain.
The camera performs a smooth, steady pan from left to right, maintaining original framing and scale.
Natural daylight, cinematic realism, stable motion, no camera shake.
Maintain original image orientation and aspect ratio, no rotation, no cropping.
Starting from the original still image, keep the entire environment, buildings, landscape, lighting, and camera position unchanged.
Add realistic vehicle motion on the road located on the right side of the image: add multiple cars smoothly driving along the road, moving naturally in the correct lane direction.
The cars appear already on the road and continue driving forward with subtle speed variation, realistic wheel rotation, soft motion blur, and accurate shadows on the ground.
No new objects are added elsewhere, no changes to architecture, terrain, or sky.
The camera remains completely static and stable throughout the scene.
Ultra-realistic motion, cinematic realism, natural traffic flow, seamless integration with the original image.</t>
  </si>
  <si>
    <t>NGDEC20004rev</t>
  </si>
  <si>
    <t>https://www.dropbox.com/scl/fo/ndzh3kqcbmxycmd0prhze/AAxRSH2yEhcQ4pWZNVzT94Q?rlkey=cdmedd1xynhttcjvdcm7cpkct&amp;dl=0</t>
  </si>
  <si>
    <t>xuất hiện 16: But continue me talking while cutting to the land showing the boundary line of the 16 parcels and Al homes popping up 16 of them (  trong line của video 2: từ gần đến xa ) ( sample: https://www.instagram.com/reels/DPRA2hgjVex/ ( giây s7))
thêm đường xá, hạ tầng: cut to a aerial view 360 of the parcel and add in Al roads and infrastructure similar to the video I sent you ( từ trái sang phải )</t>
  </si>
  <si>
    <t>https://www.dropbox.com/scl/fo/bbstlml6tj7bctyscbuz8/AOUMYkIYlQJzhciN-gRZAo8?rlkey=6yvm6vru5sfpv0bfubnr2qi8j&amp;st=y09lk2ud&amp;dl=0</t>
  </si>
  <si>
    <t>CHỈNH SỬA TRÊN ẢNH 1 (image edit / inpainting only).
KHÔNG tạo khung hình mới.
Sử dụng hình 1 làm môi trường chính: một vùng đất sườn đồi rộng mở
với các con đường mòn tự nhiên và bụi cây thưa thớt,
góc nhìn flycam từ trên cao.
Chèn các cơ sở hạ tầng lấy cảm hứng từ hình 2
vào các bãi đất trống nằm trong khu vực đường line màu đỏ.
Các biệt thự nghỉ dưỡng hiện đại có bể bơi riêng,
ghế tắm nắng, sân thượng phủ xanh với khu vực ngồi thư giãn
và lối đi dẫn ra mặt hồ.
Các công trình hòa quyện tự nhiên với địa hình,
cảnh quan tối giản, tỷ lệ thực tế và phối cảnh chính xác
phù hợp với góc nhìn flycam ban đầu.
——— KHÓA KÍCH THƯỚC &amp; KHUNG HÌNH ———
Giữ nguyên tuyệt đối kích thước, độ phân giải và tỷ lệ khung hình của hình 1.
KHÔNG xoay ảnh.
KHÔNG thay đổi canvas.
KHÔNG resize, crop, expand, zoom hoặc upscale.
Giữ nguyên orientation và camera view của hình 1.
————————————————————————————
Siêu chân thực, ánh sáng ban ngày tự nhiên, chi tiết cao.</t>
  </si>
  <si>
    <t>An empty open land at the beginning, undeveloped and bare, with natural terrain and soft daylight.
As the scene progresses, modern infrastructure gradually emerges from the ground: paved roads, sidewalks, curbs, street markings, drainage systems, and surrounding urban elements forming Modern resort villas feature private swimming pools with sun loungers, lush green terraces with seating areas, and walkways leading to the lake.
The transformation feels realistic, with subtle ground movement, light construction dust, and smooth material transitions.
The camera performs a slow, steady pan from left to right, maintaining a consistent scale and horizon throughout the shot.
Cinematic realism, modern urban development, high detail, smooth motion.
Maintain original image orientation and aspect ratio, no rotation, no cropping.</t>
  </si>
  <si>
    <t>MNJAN04002</t>
  </si>
  <si>
    <t>https://www.dropbox.com/scl/fo/fwmvn6z24eecuc01hoic0/AA8Pj_l78KES06o8F5gsEAc?rlkey=bzuj5c60jci6k5q4vm523rco0&amp;dl=0</t>
  </si>
  <si>
    <t xml:space="preserve">The Reveal: Aerial construction shot of the site. Use the "Morph" animation to transition into the 3D render of the finished community.
render 4k 5s làm mọc nhà giống ảnh khách gửi </t>
  </si>
  <si>
    <t>https://www.dropbox.com/scl/fi/fqqk3wc5p349irybdqq1v/MNJAN04002.mp4?rlkey=p0jrapmd35imymyrhg3fih5z6&amp;st=4vgvmev4&amp;dl=0</t>
  </si>
  <si>
    <t>Envato</t>
  </si>
  <si>
    <t>https://gemini.google.com/share/3a189b4ec701</t>
  </si>
  <si>
    <t>Viết prompt tạo video từ ảnh bằng envato, hiệu ứng morphskin. Tạo video từ hình ảnh một ngôi nhà được mọc lên từ khu đất trống, góc quay cố định</t>
  </si>
  <si>
    <t>Create a cinematic video from the provided image using a morphskin transformation effect.
The scene begins with an empty plot of land, exactly as shown in the original image. From this empty ground, a new house gradually grows and emerges, as if the structure is organically forming from the land itself.
The house appears step by step in a smooth morphing process — the foundation subtly rises, followed by walls, roof, and architectural details seamlessly blending into place. The transformation feels natural, continuous, and fluid, with no visible cuts or construction elements.
The camera remains completely fixed throughout the entire video: no zoom, no pan, no tilt, and no shake. The original framing, perspective, and composition are preserved exactly as in the input image.
Lighting, colors, and shadows remain stable and realistic during the morphing process, matching the environment and surroundings.
Do not add any extra objects, people, vehicles, tools, dust, smoke, or background changes. The environment stays unchanged while only the house forms.
The final scene shows a fully formed house standing naturally on the previously empty land, clean, realistic, and visually coherent with the original image.</t>
  </si>
  <si>
    <t>MNJAN04002rev</t>
  </si>
  <si>
    <t>https://www.dropbox.com/scl/fo/gxcw5f9v9ugnaasxc89q0/ABjzeo8cKng2AC_jChoFN6I?rlkey=u0o0kbxiu462ny46bsjtosap1&amp;st=xgz4s3cg&amp;dl=0</t>
  </si>
  <si>
    <t>làm xuất hiện thêm 1 toà như như toà nhà trong ảnh ở khu đất trống bên trái toà nhà đang có</t>
  </si>
  <si>
    <t>https://www.dropbox.com/scl/fi/rly6g5zmv3850r3847ry6/MNJAN04002rev.mp4?rlkey=6mx5mz5isrviwjs71x4qg1d87&amp;st=5zb2yoy0&amp;dl=0</t>
  </si>
  <si>
    <t>https://gemini.google.com/share/942410a38b4d</t>
  </si>
  <si>
    <t>Viết prompt tạo video từ ảnh bằng envato, hiệu ứng general của kling. Tạo video từ hình ảnh một ngôi nhà được mọc lên từ khu đất trống, góc quay cố định</t>
  </si>
  <si>
    <t>Create a cinematic video using Kling’s **general** effect from the provided image. A modern house gradually emerges and forms naturally from the empty land, as if it is being built by itself. The foundation appears first, followed by the walls, roof, windows, and exterior details, all materializing smoothly and continuously in place. Every element fades in and solidifies without sliding into the frame or causing visual glitches. The environment, ground, and surrounding landscape remain unchanged. The camera stays completely fixed with no movement or shake. Keep the original composition intact, add no extra objects or people, and ensure the transition feels realistic, seamless, and visually stable.</t>
  </si>
  <si>
    <t>MNJAN04002rev2</t>
  </si>
  <si>
    <t>https://www.dropbox.com/scl/fi/foyl32a4p3mok7o0ckif0/Barrett-Pointe-The-Vision-Realized-2.jpg?rlkey=tuazc2wmj2hjqfucsnh4k130a&amp;dl=0</t>
  </si>
  <si>
    <t>xây dựng cả khu nhà</t>
  </si>
  <si>
    <t>https://www.dropbox.com/scl/fi/c76e49u2kzixp5tj8fss9/MNJAN04002rev2-1.mp4?rlkey=i3jxjbyf3dn5sf0gmybfjzedv&amp;st=izxjroqj&amp;dl=0</t>
  </si>
  <si>
    <t>https://gemini.google.com/share/7cb4e06e538f</t>
  </si>
  <si>
    <t>Viết prompt tạo video từ ảnh bằng envato, tạo video quá trình xây dựng và hoàn thiện một ngôi nhà từ một mảnh đất trống, bắt đầu từ nền, móng rồi đến các chi tiết khác cho đến khi ngôi nhà được hoàn thiện, góc quay cố định</t>
  </si>
  <si>
    <t>Create a cinematic architectural construction timelapse video from the provided image.
The scene begins with a completely empty plot of land.
Critical environment lock (very important):
The sky remains exactly the same daytime sky as in the original image
No change in sky color, clouds, brightness, or time of day
Background, horizon, trees, mountains, lighting, and shadows stay fixed
Only the house structure is allowed to change
Construction sequence (realistic &amp; structural):
Ground &amp; foundation
Subtle ground markings define the house footprint
Concrete foundation and base slab form smoothly
Structural frame
Load-bearing columns and beams rise vertically
Floor slabs and main structural framework assemble logically
Walls &amp; openings
Exterior walls grow upward section by section
Interior walls appear inside the structure
Door and window openings are clearly formed
Roof system
Roof trusses and structural supports assemble
Roofing layers apply gradually until complete
Exterior completion
Facade materials apply cleanly
Windows and doors install into their frames
Final architectural details lock into place
Motion &amp; camera rules:
Camera remains completely fixed
No zoom, pan, tilt, or shake
All elements appear smoothly and continuously
No popping, teleporting, or sliding from outside the frame
Lighting &amp; realism:
Stable daytime lighting only
No flicker, no exposure changes
Natural shadows remain consistent throughout
Ending:
Hold on the fully completed house for several seconds
The house looks solid, realistic, and finished
Do NOT add people, vehicles, construction machines, tools, or extra objects.
Do NOT modify the sky, clouds, or environment in any way.
Cinematic, clean, realistic architectural build.</t>
  </si>
  <si>
    <t>MNJAN04002rev3</t>
  </si>
  <si>
    <t>https://www.dropbox.com/scl/fo/l6sfcf5ktg89tgavtzeih/ABgTfBfWrwp3RXqIsN8LvqA?rlkey=lprvgh4u2prg2k5g8oqw0u855&amp;st=0a9qjofw&amp;dl=0</t>
  </si>
  <si>
    <t>mọc 5 toà nhà giống toà nhà trong ảnh ở 5 vị trí được đánh dấu gồm cả toà trong ảnh luôn (vị trí mọc: https://drive.google.com/file/d/17x8L9a701lq2xlXI45KKsroTGEs6WXQ0/view):
sample xuất hiện nhà (giây 7): https://www.dropbox.com/scl/fi/gy04z9m6p8bei7cm3orbt/Barrett-Pointe-The-Vision-Realized-2.mp4?rlkey=5ug387pnagaibqxfz3webr39e&amp;e=1&amp;dl=0</t>
  </si>
  <si>
    <t>https://www.dropbox.com/scl/fi/bw6vn36e3hxm7h43sjcse/MNJAN04002rev3.mp4?rlkey=j326omhgdl2w4xl8c59r0mj3k&amp;st=g09pus4h&amp;dl=0</t>
  </si>
  <si>
    <t>tạo cho tôi thêm4 tòa nhà ở khu đất trống tôi đánh dấu, chỉ mọc thêm 4 tòa nhà, không được thay đổi bất kỳ chi tiết khác nào của ảnh, kích thước và góc cam của ảnh cũng phải được giữ nguyên</t>
  </si>
  <si>
    <t>Viết prompt tạo video từ ảnh bằng envato, tạo video quá trình xây dựng và hoàn thiện đồng thời  5 ngôi nhà từ một mảnh đất trống, bắt đầu từ nền, móng rồi đến các chi tiết khác cho đến khi các ngôi nhà được hoàn thiện, góc quay cố định, chuyển đổi mượt mà, liền mạch, không lóe sáng hay nháy màn hình</t>
  </si>
  <si>
    <t>Create a video from an image showing the simultaneous construction and completion of 5 houses on an empty plot of land. Start from preparing the ground and laying the foundations, then build the main structures, install roofs, windows, paint walls, and add all finishing details until all 5 houses are fully completed. Keep a fixed camera angle throughout, with smooth and seamless transitions. Ensure natural, continuous movement without flickering, flashing, or any abrupt interruptions. Emphasize the complete construction process from empty land to finished houses</t>
  </si>
  <si>
    <t>QUJAN06002</t>
  </si>
  <si>
    <t>https://www.dropbox.com/scl/fi/jeeaoodxtlk28wfa2tbd0/Reaves-Media.png?rlkey=72xpf63uwmfm2z5850blaad5k&amp;dl=0</t>
  </si>
  <si>
    <t>làm xuất hiện 1 ngôi nhà to</t>
  </si>
  <si>
    <t>https://www.dropbox.com/scl/fi/sewdqm46wbqxrwyjbqtg2/QUJAN06002.mp4?rlkey=j3yf6l6bipit5b7xtuq7xj8af&amp;st=d7iw98su&amp;dl=0</t>
  </si>
  <si>
    <t>https://gemini.google.com/share/394b1bd07bb2</t>
  </si>
  <si>
    <t>viết prompt tạo video từ ảnh bằng envato,  chuyển cảnh từ (ảnh 1) mảnh đất trống - xuất hiện một ngôi nhà (ảnh 2), cảnh ngôi nhà mọc lên chân thực, đẹp tạo cảm giác sang trọng, góc quay cố định, chuyển tiếp mượt mà, phong cách cinematic.</t>
  </si>
  <si>
    <t>Create a cinematic video from the provided images. The video starts with Image 1, showing an empty plot of land with trees. The camera remains completely fixed with no movement, no zoom, and no shake.
The transition begins as the trees and vegetation on the land gently fade and disappear, smoothly clearing the ground to make space for construction. Immediately after, a luxurious house realistically grows from the ground, starting from the foundation and structure, then forming the walls, windows, roof, and architectural details in a continuous, natural motion.
The house appears as one cohesive build, not in separated or broken parts. All materials look clean, refined, and high-end, creating a premium and elegant atmosphere. Lighting, shadows, and textures develop smoothly with no flicker, no distortion, and no object morphing errors.
The scene seamlessly transitions to Image 2, with the fully formed house standing solidly on the land. The final frames hold briefly to showcase the completed home.
Ensure a smooth, stable, cinematic transition throughout, with no added or missing objects, no environmental changes beyond the trees disappearing, and no visual artifacts or flashing.</t>
  </si>
  <si>
    <t>MIDEC20005Rev2</t>
  </si>
  <si>
    <t>https://www.dropbox.com/scl/fo/24hye387j4gjf06b75x2t/AOOk_mTO9zCHbLRsZwF9xvc?rlkey=o0hk0wugr6d7cjzal8aalatyz&amp;dl=0</t>
  </si>
  <si>
    <t xml:space="preserve">Use AI effect to add this building: https://drive.google.com/file/d/1e2dSTqAsqqdoIceHRy_0iGoOR0HFecQ-/view?usp=sharing
</t>
  </si>
  <si>
    <t>https://www.dropbox.com/scl/fi/dmf7rgou0qud3cw26aq9g/MIDEC20005Rev2.mp4?rlkey=av4kiyuz9ael648y5o0t3kdnt&amp;st=8hdjdmu4&amp;dl=0</t>
  </si>
  <si>
    <t>https://gemini.google.com/share/59b49a6c00a5</t>
  </si>
  <si>
    <t>HTJAN07008</t>
  </si>
  <si>
    <t>https://www.dropbox.com/scl/fo/qst66uquqf8ptmgiyghtj/AAa7eYF7Sbkd_UjfBqj5UDk?rlkey=i66wwe90yt2bxcr4a03dsq6mr&amp;dl=0</t>
  </si>
  <si>
    <t>1 cái là làm hiệu ứng ngôi nhà được máy bay thả xuống(ngôi nhà góc trái bên dưới), nếu làm được thì làm nhé ạ, 1 cái day to night, 1 cái xuất hiện người ngồi nói chuyện với nhau</t>
  </si>
  <si>
    <t>https://www.dropbox.com/scl/fo/bu30hzvdpksxtzx2d05cc/AAvyIm-ynZz1lwxIR-JNoP4?rlkey=a6yo1ks1rjuhszt6ioqabnasj&amp;st=ovduqecw&amp;dl=0</t>
  </si>
  <si>
    <t>MIDEC20005Rev3</t>
  </si>
  <si>
    <t>https://www.dropbox.com/scl/fo/y1xlprr6shk3sbd88d5sj/ADSMc2XtUkBiIbSBOeVIDYw?rlkey=8i2or9rrbl3qzf815q8q2vt05&amp;st=o2dr844y&amp;dl=0yy1nmf45/drones-video-rev3.png?rlkey=3naa2p97a7kvmj6hru18m2hdb&amp;dl=0</t>
  </si>
  <si>
    <t xml:space="preserve">Use AI effect to add this building ( add toaf nha o duoi thay cho tòa ở khung line): https://drive.google.com/file/d/1e2dSTqAsqqdoIceHRy_0iGoOR0HFecQ-/view?usp=sharing
</t>
  </si>
  <si>
    <t>https://www.dropbox.com/scl/fi/reakdf0iewtrklehde2p3/MIDEC20005Rev3.mp4?rlkey=i563dessn2tydbn0hw4qmwwbx&amp;st=nc9xlrk4&amp;dl=0</t>
  </si>
  <si>
    <t>NHJAN13014</t>
  </si>
  <si>
    <t>https://www.dropbox.com/scl/fo/7g2288cm0bub3fqfymbua/AO5tt1Hecs5hqgJwndX_ziQ?rlkey=znrx3jpwvt2e7uvkkl8p6ck30&amp;dl=0</t>
  </si>
  <si>
    <t>tạo ra khu dân cư ở khu đất đó, cứ có kết quả là đc k có mẫu, DL sale 15h gấp xíu</t>
  </si>
  <si>
    <t>https://www.dropbox.com/scl/fi/f06g8wqxp50ep9w1532om/NHJAN13014.mp4?rlkey=724ax9mkms3thy541sxavq6qc&amp;st=ja7aey8t&amp;dl=0</t>
  </si>
  <si>
    <t>TLJAN16021rev</t>
  </si>
  <si>
    <t>https://www.dropbox.com/scl/fo/rl0n00bvy9op5i2rc3i7e/ANFnu2Bpe4GLAUknsW4xSuc?rlkey=zyb9yu6skmbla5h5hssaybbyq&amp;dl=0</t>
  </si>
  <si>
    <t>Add Ai effect of a big nice home being dropped from the sky and to the left of it add a shop/warehouse 
Vòng tròn nhỏ add shop/warehouse. Vòng tròn to add nhà  https://drive.google.com/file/d/1mVCvo8k6gdVSVLA_8tiNxezH93qOxadu/view?usp=sharing"
(khách đã khoanh vị trí add shop/warehouse)</t>
  </si>
  <si>
    <t>https://www.dropbox.com/scl/fo/y2mvckt1u90tv7bc8kjrd/AOiwXfuKc2eQpuGgoMCGNBU?rlkey=k1qwksbht78ueka4gctnaqpgm&amp;st=0ccecdpt&amp;dl=0</t>
  </si>
  <si>
    <t>QUJAN23002</t>
  </si>
  <si>
    <t>https://www.dropbox.com/scl/fo/6yn2lhculbhfbiq4fcmip/AK-7eLfYv2Fw8nypNtfz3_4?rlkey=b2njo6tiy8us522tl27w7d446&amp;dl=0</t>
  </si>
  <si>
    <t>1 AI dựng nhà dựa trên  Bản rendering được chia thành 4 khung hình trong một file PDF</t>
  </si>
  <si>
    <t>https://www.dropbox.com/scl/fi/3mntde7sqg36u1tacyg2u/QUJAN23002.mp4?rlkey=evg05i23duiwbfl40zz5zri20&amp;st=njin1zwp&amp;dl=0</t>
  </si>
  <si>
    <t>NGJAN23007Rev3</t>
  </si>
  <si>
    <t>https://www.dropbox.com/scl/fo/jl6u9amlkz76dtohcwaj6/AEVDKLJszaC5JUXBokr6ckU?rlkey=cgn5yb7ut9nqk9qa83mujaivj&amp;dl=0</t>
  </si>
  <si>
    <t>xây nhà với bể bơi và thảm có xanh (từ trái qua phải)</t>
  </si>
  <si>
    <t>https://www.dropbox.com/scl/fi/v0u2prki7t1ynvspwoait/NGJAN23007Rev3.mp4?rlkey=n4ef9vfbln04oobw1hn0vp09f&amp;st=kmka5kk5&amp;dl=0</t>
  </si>
  <si>
    <t>https://gemini.google.com/share/bedf28c84f97</t>
  </si>
  <si>
    <t>dùng promt mẫu</t>
  </si>
  <si>
    <t>NGJAN23007Rev5</t>
  </si>
  <si>
    <t>https://www.dropbox.com/scl/fo/t0vp6qyjxagcu07enury3/ALG8vrkYRpSMdr7t_ZzVVlw?rlkey=z7o8htgclsul0ne80gvkiwte4&amp;st=jolbxin4&amp;dl=0</t>
  </si>
  <si>
    <t>2 AI mọc nhà farmhouse từ trái sang phải
khách có gửi ảnh mẫu trong folder 1 số  farm house
ren 4k giúp em</t>
  </si>
  <si>
    <t>https://www.dropbox.com/scl/fi/re978837z2lzi1nksbi29/NGJAN23007Rev5.mp4?rlkey=3yoxup4do1ied3l7ywwkk52eu&amp;st=208edhu4&amp;dl=0</t>
  </si>
  <si>
    <t>https://gemini.google.com/share/137cae69ed0e</t>
  </si>
  <si>
    <t>viết prompt tạo video từ ảnh bằng Evanto, tạo video từ hình ảnh có một mảnh đất trống, chuyển sang hình ảnh 2 ở khu đất trống ngôi nhà được xây dựng từ mảnh đất trống, cây phía trước được chặt bỏ, ngôi nhà được xây dựng từng phần từ khi bắt đầu cho đến khi hoàn thiện, vị trí ngôi nhà được xây dựng luôn ở trong mảnh đất trống và ở yên một chỗ, video duy trì ánh sáng cố định, độ chân thực cao với các phương tiện xây dựng công trình như thể có một đội thi công đã hoàn tất nó, góc cam FPV lia nhẹ sang phải, không có sự xuất hiện của máy móc, ngôi nhà chỉ từ lô đất trống rồi được xây dựng từng phần</t>
  </si>
  <si>
    <t>Create a highly realistic image-to-video transition starting from an empty plot of land (Image 1) and progressing to the same plot of land with a fully completed house (Image 2).
At the beginning of the video, the front trees are gradually removed and cleared, revealing a clean and unobstructed empty land area.
The house is then constructed progressively in clear, sequential stages (site preparation → foundation → main structure → walls → roof → exterior finishing), until the house is fully completed.
Throughout the entire construction process, the house must remain fixed in position, built entirely within the boundaries of the empty plot, and must not shift, slide, rotate, or change location at any stage.
The construction must feel physically believable and highly realistic, as if a professional construction team has completed the project, without showing any workers, vehicles, tools, or construction machinery at any time.
Maintain constant, fixed lighting throughout the entire video — no changes in brightness, no time-of-day shifts, and no flickering.
Use a smooth FPV-style camera movement with a gentle pan to the right, keeping the motion stable, continuous, and cinematic, with no shaking, no jitter, and no sudden acceleration.
Preserve accurate scale, proportions, and structural integrity of the house at every construction stage.
No deformation, no warping, no stretching, and no visual distortion are allowed.
The transition must be seamless, fluid, and continuous, with no motion blur, no flashing lights, and no abrupt visual changes.
The entire video must be strictly based on the two input images only.
Do not add any fictional, AI-generated, or extra elements beyond what exists in Image 2.
Style: ultra-realistic architectural build-up, clean cinematic FPV reveal, professional and natural construction completion look.</t>
  </si>
  <si>
    <t>QUJAN27010</t>
  </si>
  <si>
    <t>https://www.dropbox.com/scl/fo/jeirz26e6o2sk2s9mi83q/AIco7_Yc0TB_VvkPyb196iE?rlkey=c73u8wwx7rohc5ewfrpbnvyga&amp;dl=0</t>
  </si>
  <si>
    <t xml:space="preserve">Vui lòng sử dụng công cụ AI: có thể là mọc nhà lên drone khách quay sẵn. 
Tổng 4AI cho 4 ảnh nhà mẫu khách gửi. 
Tạo chuyển động nhẹ cho căn nhà
Thêm chiều sâu, thay đổi ánh sáng hoặc chuyển động cinematic
Tạo chuyển động tự nhiên để căn nhà trông như footage video thật
</t>
  </si>
  <si>
    <t>https://www.dropbox.com/scl/fo/yiq5kgff8ojjo3x6rw30e/AApvZb30yu5Rtkim9lAHQPE?rlkey=jxrrcszogeezo76bggq446k0n&amp;st=n0niq0u0&amp;dl=0</t>
  </si>
  <si>
    <t>VUJAN29013</t>
  </si>
  <si>
    <t>https://www.dropbox.com/scl/fo/05p3744xkqht61edgpweo/AFzbbukACWlbvpisQHZZBSM?rlkey=nwarpnww4wrykgm64x5s7g0sq&amp;dl=0</t>
  </si>
  <si>
    <t>AI houses (4) (Intro, Middle with traditional, then modern, then modern + pool.)
biến nhà giống ảnh sample 
1 cái là nhà traditional 
1 cái nhà modern
1 cái là modern có hồ bơi</t>
  </si>
  <si>
    <t>https://www.dropbox.com/scl/fo/8h1sikov5kkx2f6gvypn5/AK_4xg0O4VgfigETD12enmU?rlkey=tyx3b20l64jp4o1mzibc7zyux&amp;st=dgiyp9z5&amp;dl=0</t>
  </si>
  <si>
    <t>QUJAN31005</t>
  </si>
  <si>
    <t>https://www.dropbox.com/scl/fo/3raulc7hlos0lqdf6buzn/AL2hYWgPILp7pv2ZTpHKTkk?rlkey=3vy2pebbpb8scb725mw207yfd&amp;st=8l5l5nme&amp;dl=0</t>
  </si>
  <si>
    <t xml:space="preserve">1 AI  dựng thêm nội thất cho phòng khách và thêm lửa trong lò sưởi
2 AI nổi nhà và kèm day to night như sample sau https://www.instagram.com/p/DTnlo8kjObZ/ 
3 AI day to twilight Và bật đèn trong nhà.
</t>
  </si>
  <si>
    <t>https://www.dropbox.com/scl/fo/8pqw51d4m9xzh04hvfes6/AMjcv0GHqDKtyZhbiOX-htc?rlkey=21f5etw41pwvwkezv77m4pfl7&amp;st=l0je26ea&amp;dl=0</t>
  </si>
  <si>
    <t>1. prompt cũ
2. 
3. prompt cũ</t>
  </si>
  <si>
    <t>1. Generate a smooth interior transformation video.
Start from Image 1: an empty interior room.
Transition to Image 2: the same room fully furnished.
Camera is completely fixed.
No camera movement.
No zoom.
No shake.
Maintain the exact original camera angle and framing.
All furniture and interior objects appear simultaneously in the exact positions shown in Image 2.
Objects do not fly in from outside.
No object-by-object sequence.
No scaling or warping.
Furniture materializes with a clean, soft fade-in reveal.
Reveal speed is medium — not too fast, not too slow.
Continuous and seamless transformation.
No flicker.
No flashing.
No lighting change.
No extra objects added.
No background changes.
Stable, realistic, high-quality interior reveal.
2. A cinematic realistic transformation video starting from an empty piece of land.
First, a mound of soil and sand gradually appears on the ground, gathering naturally in the center.
Then a large mass of construction materials rises and accumulates from the soil, layering and assembling upward in a controlled way.
The structure grows smoothly and continuously, forming walls, roof, and details until it becomes a complete modern house matching the reference image.
The growth feels organic and progressive, like the house is emerging from the earth.
The camera angle remains completely fixed and stable with no movement.
Lighting is consistent throughout, high realism, natural shadows, cinematic atmosphere.
The transformation is seamless, slow, and visually satisfying.
3. Generate a cinematic timelapse landscape video based strictly on the two input images.
Transition smoothly from daytime (image 1) to twilight/dusk (image 2).
The transition shows gradual natural changes in lighting and sky color, with smooth cloud movement over time.
Light slowly softens and darkens as the scene approaches dusk, maintaining realistic exposure and color balance.
Camera remains completely fixed and stable, no movement, no shake, no zoom.
The transition is continuous, seamless, and fluid.
No flickering lights, no blur, no jitter, no visual artifacts.
Do not add or remove any objects, buildings, trees, or shadows.
Do not introduce any fictional or extra details.
Strictly follow the composition, layout, and perspective of the two input images.
High realism, clean details, smooth temporal consistency.</t>
  </si>
  <si>
    <t>QUJAN31007</t>
  </si>
  <si>
    <t>https://www.dropbox.com/scl/fo/8bdnzvh2a52m76hly9yef/AGut6PITK1NyhOlY3gwCiTA?rlkey=jfzjv8jspuycik71127pc2ipl&amp;dl=0</t>
  </si>
  <si>
    <t xml:space="preserve">1 AI  nhà như sample dưới . Gợi ý dùng clip DJI_20260129113118_0004_D hoặc DJI_20260129113102_0003_D.
Làm cho nhà mọc lên như sample ở video sau 
 https://www.instagram.com/p/DTnlo8kjObZ/?hl=en 
2: AI Virtual staging phòng khách ( hiện nội thất)
3: AI  Virtual staging cho khu  upper covered deck ( hiện nội thất , thêm lửa vào lò sưởi )
</t>
  </si>
  <si>
    <t>https://www.dropbox.com/scl/fo/bvqfxs3ys2lmhikfkei4h/AFH_wP5-DpxXVK9CzcqOniA?rlkey=l1lfjxilzsajbwkzk3bxofl82&amp;st=64h7ed5i&amp;dl=0</t>
  </si>
  <si>
    <t>1. A fixed-camera realistic construction transformation.
Start with an empty flat land, bare soil, no structures present.
Small piles of dirt and sand gradually appear on the ground, forming a construction foundation.
Large volumes of building materials slowly and continuously accumulate from the ground upward, naturally stacking and assembling in place.
The house grows vertically and structurally from its base, with no lifting, no jumping, and no floating movement.
Walls, floors, and roof form step by step in a smooth, grounded manner.
The final result is a complete two-story house that exactly matches the reference image (Image 2) in scale, position, proportions, and design.
The house remains anchored to the ground at all times and never shifts upward or changes elevation.
Camera remains completely static, locked-off shot.
Seamless continuous transition, ultra-smooth motion, no flickering, no shaking, no motion blur.
High realism, stable lighting, consistent perspective, photorealistic construction growth.
2, 3. Generate a smooth interior transformation video.
Start from Image 1: an empty interior room.
Transition to Image 2: the same room fully furnished.
Camera is completely fixed.
No camera movement.
No zoom.
No shake.
Maintain the exact original camera angle and framing.
All furniture and interior objects appear simultaneously in the exact positions shown in Image 2.
Objects do not fly in from outside.
No object-by-object sequence.
No scaling or warping.
Furniture materializes with a clean, soft fade-in reveal.
Reveal speed is medium — not too fast, not too slow.
Continuous and seamless transformation.
No flicker.
No flashing.
No lighting change.
No extra objects added.
No background changes.
Stable, realistic, high-quality interior reveal.</t>
  </si>
  <si>
    <t>VUJAN29013Rev</t>
  </si>
  <si>
    <t>https://www.dropbox.com/scl/fo/l51ngwtlkxlh71yukgkzy/AMgYOclpzl_e-u2rNODeOwc?rlkey=9eztb4t57nq9kyncfjvdk9egn&amp;dl=0</t>
  </si>
  <si>
    <t>REN 4K GIÚP EM 
ảnh 1: làm chuyển động giống sample giúp em (mấy giây đầu ý ạ), làm nhà traditonal home giống ảnh sample nma xịn hơn 
https://www.instagram.com/p/DT92q74Ckb0/  (sample đây ạ)
ảnh 2: làm 3 AI 
1 cái là kết quả nhà AI giống ảnh 1
1 cái là nhà modern home giống ảnh sample
1 cái là nhà modern home nma có hồ bơi  
tất cả phải sang hơn nhé ạ, khách đang chê phèn ạ :)))</t>
  </si>
  <si>
    <t>https://www.dropbox.com/scl/fi/tk12yhgt7rz845dh74n81/VUJAN29013Rev.mp4?rlkey=7tky2okb24ob88ozhnxk36g6d&amp;st=uk6kopse&amp;dl=0</t>
  </si>
  <si>
    <t>Create a realistic timelapse deconstruction video using Image 2 as the starting frame and Image 1 as the final reference.
The camera remains completely static and locked throughout the entire video.
The fully developed neighborhood gradually disappears and sinks into the ground.
Step-by-step transition:
– Houses, buildings, and roads slowly descend vertically into the ground
– Trees and vegetation shrink downward and sink into the soil naturally
– Grass and landscaping fade away, returning to bare sandy terrain
– The land becomes a flat, empty open area exactly like Image 1
All elements must disappear only by sinking downward, not dissolving or sliding sideways.
Final frame must precisely match Image 1 in layout, scale, and perspective.
Natural daylight, realistic lighting, smooth timelapse motion, cinematic realism, high detail, stable horizon.</t>
  </si>
  <si>
    <t>CHJAN29003Rev3</t>
  </si>
  <si>
    <t>https://www.dropbox.com/scl/fo/igsl1de7668h7k7jh4tzv/ANwR148Qxi0WXrgBp3Me8tg?rlkey=wzgg4wudr9p6ldtdcq69e3dc3&amp;dl=0</t>
  </si>
  <si>
    <t>EF AI xuất hiện nhà như sample ( Khách hàng yêu cầu chỉnh lại nhà AI sao cho garage nằm bên hông, không nằm phía trước ngôi nhà )
sample: https://www.dropbox.com/scl/fo/7olu1o3xpz9qwwez67gm2/ADDSc6htn-pzR4wrkqOT_HA?rlkey=rqdn0b661jgnrjxxjyyze4gtc&amp;dl=0</t>
  </si>
  <si>
    <t xml:space="preserve">
https://www.dropbox.com/scl/fo/lhzinsi4z4fpbc5mb24jk/AH11DkWpSA_Ir1x5u42Fa7M?rlkey=qy44ebrzuovwwzxjrua5aqgp1&amp;st=ecit5anf&amp;dl=0 </t>
  </si>
  <si>
    <t xml:space="preserve">https://gemini.google.com/share/d9e76a854c22 
https://gemini.google.com/share/55443a73a070 </t>
  </si>
  <si>
    <t>k có</t>
  </si>
  <si>
    <t>dùng explosion</t>
  </si>
  <si>
    <t>THJAN31036Rev</t>
  </si>
  <si>
    <t>https://www.dropbox.com/scl/fo/b33esyxpr36yioysr93bk/AMGN1OjpzXgtGvALMxL-mFk?rlkey=rxk6vzkpn7azatnr8rrzpdujy&amp;st=yv01rvbz&amp;dl=0</t>
  </si>
  <si>
    <t>3 hiệu ứng:
- làm chuyển sang đêm (từ trái sang phải): cho cảnh sang đêm luôn ạ chứ không phải chuyển đổi dần dần từ sáng sang tối
- làm hiệu ứng ban đêm xuất hiện mặt trăng máu như sample: từ trên xuống dưới (cho xuất hiện luôn ạ)
- mọc nhà có như đầu sample hoặc mọc nhà kiểu nào khác mà ngầu ngầu cũng dc ạ (từ xa đến gần
sample: https://www.instagram.com/reels/DT9ll58kQdZ/
xuất 4K</t>
  </si>
  <si>
    <t>https://www.dropbox.com/scl/fo/l76lwjmie4121ti8f19uf/ACbQ2raMo115R_-K3FYifyQ?rlkey=q05ia0buna885nf92hnw19hq5&amp;st=2pu968dp&amp;dl=0</t>
  </si>
  <si>
    <t>VUJAN31009</t>
  </si>
  <si>
    <t>https://www.dropbox.com/scl/fo/jw6n9t9dem4wu6xrox02t/AM3BFwN6o_UQqxq0eNPVoqo?rlkey=2wxjdno3vjxzk5lwxjz8y3sd0&amp;st=wbdq70en&amp;dl=0</t>
  </si>
  <si>
    <t>làm 7 hiệu ứng 
- 1 ngày sang đêm từ gần ra xa
- còn lại là các hiệu ứng mọc/xây nhà: 
từ cảnh 1 đến cảnh 5: nhà nông trại hiện đại (make them modern farm homes): từ trái sang phải, từ gần ra xa
cảnh 6: nhà hiện đại với bể bơi lớn (big modern home with infinity pool)
xuất 4k</t>
  </si>
  <si>
    <t>https://www.dropbox.com/scl/fo/81mqdof6g74y3jef4jqjj/AHGaffjyajFz6UH0m4siGeE?rlkey=ytlpfyssxtewh5dvpw7nu8enq&amp;st=nmv8esto&amp;dl=0</t>
  </si>
  <si>
    <t>VAFEB04009Rev</t>
  </si>
  <si>
    <t>https://www.dropbox.com/scl/fi/5tf6ae77zcx4hknnq92ml/111.png?rlkey=smcp1mav2aqbadkaad0lvbozq&amp;dl=0</t>
  </si>
  <si>
    <t>Prime site for truck stop or fuel station (ai of truck stop and one of fuel station)</t>
  </si>
  <si>
    <t>https://www.dropbox.com/scl/fi/cvelr43k5lyi76wr4ad49/VAFEB04009Rev.mp4?rlkey=2dfa8oez823xbv1sev1qgpru2&amp;st=mqkj04d4&amp;dl=0</t>
  </si>
  <si>
    <t>https://gemini.google.com/share/c667be7873d0</t>
  </si>
  <si>
    <t>HAFEB05006</t>
  </si>
  <si>
    <t>https://www.dropbox.com/scl/fo/xwunr8e0qtsioeaw7ph4t/ANORYaVT7nM-ThbYa7jzKYU?rlkey=27n9h2te160nboa189ar8zcht&amp;st=w1t1ttgt&amp;dl=0</t>
  </si>
  <si>
    <t>Thêm hiệu ứng AI mô phỏng một vài kiểu nhà. Thêm các kiểu nhà rơi xuống từ trên trời</t>
  </si>
  <si>
    <t>https://www.dropbox.com/scl/fo/5czp3wtvo3wvo2jzy1kh2/AEPuP0ELZXe7np46O1odTKQ?rlkey=dtvr4897yb57yzlbrgwi6bqmo&amp;st=xcg9d8s8&amp;dl=0</t>
  </si>
  <si>
    <t>https://gemini.google.com/app/9550d9a02ad00994#96ce7a1e2bcdd848</t>
  </si>
  <si>
    <t>viết prompt tạo video từ ảnh bằng higgfield.ai, tôi dùng general (kling 2.5), tạo video chuyển cảnh từ mảnh đất trống hình ảnh 1 sang ngôi nhà rơi từ trên cao xuống mảnh đất trống hình ảnh 2, ngôi nhà rơi từ trên cao xuống theo một phương thẳng đứng, có hiệu ứng bụi khi rơi xuống mặt đất, góc quay cố định</t>
  </si>
  <si>
    <t>Create a cinematic transformation video using Image 1 and Image 2.
The video begins with Image 1: an empty land, completely unchanged and stable.
A full house from Image 2 appears high above the scene and falls straight down vertically onto the empty land.
The house moves only along a vertical axis, falling perfectly straight from top to bottom, with no rotation, no tilt, no sideways movement.
The falling motion is smooth, realistic, and gravity-based, slightly decelerating just before impact.
When the house touches the ground, a natural dust effect appears at the base, spreading outward along the ground surface, subtle and realistic, without covering the house or the camera view.
After landing, the house locks precisely into the final position, scale, and perspective of Image 2, completing a seamless transition.
Camera remains completely fixed, no pan, no zoom, no dolly, no shake.
Realistic lighting, consistent environment, cinematic realism, clean and controlled motion.</t>
  </si>
  <si>
    <t>NGFEB05002Rev</t>
  </si>
  <si>
    <t>https://www.dropbox.com/scl/fo/6vg4vq1refe0dissh50ow/ACrgpHI7FlMDmgxyFtM3xJ4?rlkey=atmy60d1jrnnr9dzh9jfv34kh&amp;dl=0</t>
  </si>
  <si>
    <t>làm hiệu ứng AI nhà (Torn down / breaking apart Nhẹ hơn, tinh tế hơn)</t>
  </si>
  <si>
    <t>https://www.dropbox.com/scl/fi/mibqy4khl8nq3b7ot4632/NGFEB05002Rev.mp4?rlkey=3pouwt187t4ig5gz113z1behk&amp;st=qou783fx&amp;dl=0</t>
  </si>
  <si>
    <t>https://gemini.google.com/share/58cac64b2c46</t>
  </si>
  <si>
    <t>viết prompt tạo video từ ảnh bằng higgfield.ai, tôi dùng general (kling 2.5), tạo video chuyển cảnh từ ngôi nhà bình thường dần các cấu trúc của ngôi nhà bị tháo rỡ và sụp đổ hoàn toàn một cách nhẹ nhàng và tinh tế, góc quay cố định</t>
  </si>
  <si>
    <t>Create a cinematic architectural deconstruction video from the input image.
The scene begins with a complete, normal house, fully intact and stable.
Gradually, the structural elements of the house begin to dismantle and collapse in a gentle, controlled manner.
Walls, roof, floors, and architectural components separate first, then slowly lose support and collapse downward, following gravity naturally.
The collapse is soft, elegant, and progressive, not violent, not explosive, as if the house is being carefully deconstructed and allowed to fall.
Structural parts retain their original shape and materials while collapsing, no deformation or distortion.
Movement is slow, smooth, and refined, with subtle realism rather than dramatic destruction.
By the end of the sequence, the house is fully collapsed, leaving a calm, visually balanced result.
Camera remains completely fixed, no pan, no zoom, no dolly, no shake.
Lighting, shadows, environment, and perspective remain consistent throughout the transformation.
Cinematic realism, architectural visualization style, clean motion, high visual fidelity.</t>
  </si>
  <si>
    <t>Thêm nội thất</t>
  </si>
  <si>
    <t>TRDEC21003</t>
  </si>
  <si>
    <t>https://www.dropbox.com/scl/fo/b52kv2e9tqsj5ibrqqxuv/APeVUFIMS977ZhHbJUayvNw?rlkey=6ihcj3ysv8xnyn1suuxk7z26d&amp;dl=0</t>
  </si>
  <si>
    <t>https://www.dropbox.com/scl/fi/e1v6x4u772ljgn9ac18a7/ScreenRecording_12-20-2025-11-40-53_1.mov?rlkey=ura97tqmvavp7yz2ub00a5jlw&amp;st=e5f1jvx6&amp;dl=0  làm AI giống sample không làm christmas ren 4k làm 5s.</t>
  </si>
  <si>
    <t>https://www.dropbox.com/scl/fo/9lkhr7lofs5b4z6o6vtwt/AKzM2EWzbjKYuGOZDC3Z40Q?rlkey=59zr273nu7eet8p85ti0hos2g&amp;st=oqrm8u92&amp;dl=0</t>
  </si>
  <si>
    <t>https://gemini.google.com/share/13a8a84cea50
https://gemini.google.com/share/5ed8bedbd24c</t>
  </si>
  <si>
    <t>viết prompt tạo video dùng góc quay fpv giả định, tiến lại về phía ngôi nhà một cách từ từ, người phụ nữ đang đứng quay lưng về phía camera, ôm đầu nhìn ngôi nhà một cách ngạc nhiên và choáng ngợp, độ dài video 10s</t>
  </si>
  <si>
    <t>FPV-style cinematic camera shot, slow and smooth forward movement toward the house, camera flying at eye-level from the driveway, gradually approaching the warmly lit suburban house.
A woman is standing in the center of the driveway with her back facing the camera, both hands holding her head, expressing shock, surprise, and overwhelming emotion as she looks at the house.
The house is decorated with warm string lights outlining the roof and walls, glowing softly against the cold dusk sky. A bright “JUST LISTED” sign floats above the roof, emitting a subtle golden glow.
Camera movement is steady and controlled, FPV drone-like motion without shaking, slowly closing the distance to enhance immersion.
Cinematic depth of field, realistic lighting, soft shadows, natural color grading, high realism, emotional atmosphere.
Duration 10 seconds, smooth motion, no abrupt cuts, ultra-detailed, cinematic realism.</t>
  </si>
  <si>
    <t>CADEC22002</t>
  </si>
  <si>
    <t>https://www.dropbox.com/scl/fo/4cgxd2cdt8aogz6ttr5uc/AMtf5XPQ91e2Gcg-WvAJrZo?rlkey=obnfbkpvcjapqatqks36uctau&amp;dl=0</t>
  </si>
  <si>
    <t xml:space="preserve">Chuyển cảnh ngày → đêm ở clip intro của căn nhà bằng AI, theo phong cách thật, tự nhiên, giống bầu trời golden hour.
Dùng AI để decor nội thất:
Phòng khách
Phòng giải trí trên lầu
Muốn showcase cảnh mọi người tụ tập, cười nói, vui vẻ, có thể uống nước, và thêm bàn bi-a ở trên lầu.
Mình đã thêm một số hình virtual staging để bạn tham khảo cho phần AI trong video:
https://www.dropbox.com/scl/fo/olicxetfqdwewjnbhgsdd/AJp9AflkngkbaTTj-vHGN3w?rlkey=inp5ncziy5kp4wzw0moma4rvx&amp;dl=0
Lưu ý: giữ nguyên màu cinematic. 1 cảnh bị nghiêng cứ làm bt
</t>
  </si>
  <si>
    <t>https://www.dropbox.com/scl/fo/ci6wllu2hgw82bu36s8rb/AGaHePXTBgnFiSNgDhe3bkE?rlkey=7d9aey7rp64mo90376hk9zkd0&amp;st=8j8kgq9h&amp;dl=0</t>
  </si>
  <si>
    <t>https://gemini.google.com/share/80a4c627b0df
https://gemini.google.com/share/b9ff148a5987
https://gemini.google.com/share/4d05a1993c38</t>
  </si>
  <si>
    <t>viết prompt tạo video từ ảnh, tôi dùng higgsfield.ai và hiệu ứng timelapse landscape, tạo video chuyển cảnh từ ngày sang hoàng hôn với bóng đổ và chuyển động mây chân thực, video liền mạch, không flicker, góc camera giữ cố định</t>
  </si>
  <si>
    <t>Time-lapse landscape transition from daytime to sunset using the provided image as reference.
The modern two-story white house remains perfectly fixed in position, camera locked-off with no movement or shake.
Gradually shift lighting from bright daylight to warm golden-hour sunset.
Sunlight slowly lowers, creating long, soft, realistic shadows stretching across the front walkway, palm trees, and facade.
Sky transitions smoothly from clear blue to dramatic sunset clouds with warm orange and amber tones.
Clouds move naturally across the sky in cinematic time-lapse motion, realistic speed and depth.
Reflections on windows subtly change according to the evolving sky and light direction.
Color temperature warms progressively, preserving architectural details and natural contrast.
Ultra-smooth temporal coherence, seamless transition, no flicker, no jitter, no artifacts.
Photorealistic lighting, cinematic atmosphere, high dynamic range, natural shadow softness.</t>
  </si>
  <si>
    <t>QUDEC23004</t>
  </si>
  <si>
    <t>https://www.dropbox.com/scl/fo/xpwkt8w055zowldecnnkk/ACC7vPPRSTGhV7DzhRFWi2E?rlkey=3xqvjegaxruep66z7p1pseyr4&amp;dl=0</t>
  </si>
  <si>
    <t xml:space="preserve">Mở video bằng clip agent giới thiệu. Khi anh ấy búng tay, cắt sang hiệu ứng AI trực thăng kéo tấm bạt ra khỏi ngôi nhà. Sau đó cắt sang cảnh drone pull-away.
Mình cũng muốn virtual staging cho phòng family room. Mình đã đánh dấu 2 clip của không gian này mà mình nghĩ là phù hợp cho hiệu ứng đó:
“family room – good for staging2?.MOV” hoặc “family room – good for staging?.MOV”.
Ngoài ra, khi staging, bạn có thể thêm lửa vào lò sưởi không?
</t>
  </si>
  <si>
    <t>https://www.dropbox.com/scl/fo/io936yglgmx74l4hc71yb/AHX5MrTBl3P1YqERYnXekCM?rlkey=wegd3mo7d2g3m4jbshguuwoin&amp;st=t7ra4cte&amp;dl=0</t>
  </si>
  <si>
    <t>family room: https://gemini.google.com/share/e351bcbf7197 
trực thăng: https://gemini.google.com/share/8df7cfbb4405</t>
  </si>
  <si>
    <t>Create a cinematic video transition between two images.
Image 1: a house completely covered by a large black tarp, with a helicopter above pulling the tarp upward by several ropes.
The helicopter’s rotor blades spin rapidly with realistic motion blur and wind turbulence.
The camera performs a smooth, continuous dolly-in motion straight forward, moving closer toward the house (no upward tilt).
The helicopter rises vertically while slowly moving backward, lifting the tarp. The black tarp stretches and flutters in the wind, then suddenly tears free from the ropes — the ropes snap and vanish naturally.
The tarp is thrown backward over the house, flipping and twisting before falling quickly behind the building and disappearing.
The helicopter continues flying upward, rotor blades still spinning, gradually exiting the frame at the top, leaving only the house in view.
As soon as the tarp and helicopter leave the frame, transition seamlessly into Image 2, revealing the house completely uncovered.
Maintain smooth forward dolly-in motion, natural afternoon lighting, realistic wind and dust effects, and cinematic motion blur.</t>
  </si>
  <si>
    <t>TRDEC23003</t>
  </si>
  <si>
    <t>https://www.dropbox.com/scl/fo/taa59mj2ct1kuhvpidx29/AFBPs2UgCr8PJ9eQfup9k3k?rlkey=twcy8cblrsydzc8n8fjjr8dit&amp;dl=0</t>
  </si>
  <si>
    <t xml:space="preserve">https://www.dropbox.com/scl/fo/taa59mj2ct1kuhvpidx29/AFBPs2UgCr8PJ9eQfup9k3k?rlkey=twcy8cblrsydzc8n8fjjr8dit&amp;dl=0
1 : biến đổi cảnh ngoài trời như giây 02 giống link sample
2 : Biến đổi nội thất như giây 06 giống link sample
Export 4k </t>
  </si>
  <si>
    <t>https://www.dropbox.com/scl/fo/4fdgmut2m27rwxhhpj55l/ACHZZrriE7x5col7xvTyLxg?rlkey=tnr6mw8rem3miwbhceh7vxi3s&amp;st=odmlwrs1&amp;dl=0</t>
  </si>
  <si>
    <t>https://gemini.google.com/share/c822f5b9bab2</t>
  </si>
  <si>
    <t>viết prompt tạo video từ ảnh bằng higgsfield.ai, tạo các chuyển động thể hiện hoạt động chân thật của 1 gia đình trong đêm giáng sinh. Người nữ đứng trên ghế trang trí cây thông, 2 cô bé ngồi buộc ruy băng cho hộp quà dưới gốc cây thông, người nam thì đang chuẩn bị bàn tiệc giáng sinh, cả gia đình cười nói vui vẻ. Sử dụng góc quay FPV drone lướt nhẹ về phía 3 người đang trang trí cây thông giáng sinh sau đó vòng lại để lộ cảnh cả gia đình vui vẻ trong đêm giáng sinh</t>
  </si>
  <si>
    <t>1. Create a cinematic video from the image. The reindeer pulling Santa Claus on the sleigh begin to move, galloping with powerful airborne strides. They rise and fly forward and exit the frame completely. No reindeer were added during Santa's sleigh ride. As they leave the scene, the final shot reveals only the peaceful winter sky and the warmly lit Christmas house below. Use a smooth dolly-in camera movement that glides forward and subtly tilts upward to follow Santa’s ascent before settling into the final empty sky view. Maintain a magical Christmas atmosphere with soft snowfall and warm festive lighting
2. Create a realistic, cinematic video animation based strictly on the input image.
A warm and cozy Christmas Eve family scene inside a modern living room.
The adult woman is standing steadily on a small stool, gently decorating the Christmas tree by hanging ornaments with natural hand movements.
Two young girls are sitting on the floor beneath the tree, carefully tying ribbons and wrapping a gift box together, occasionally looking at each other and smiling, showing subtle, natural childlike motions.
The adult man is in the kitchen area preparing a Christmas dinner, arranging food and dishes with relaxed, realistic movements.
All family members appear joyful, interacting naturally, laughing softly and enjoying the festive moment.
Camera movement:
Use a smooth FPV drone-style camera.
The camera gently glides forward toward the three people decorating the Christmas tree, maintaining a stable and fluid motion.
Then the camera slowly curves and orbits back to reveal the full scene, showing the entire family together in a joyful Christmas atmosphere.
Maintain the original layout, furniture placement, architecture, lighting, and decorations exactly as in the input image.
Do not add or remove people or objects.
Movements should be subtle, lifelike, and continuous.
Soft warm indoor lighting, cozy holiday ambiance, cinematic realism, no flickering, no sudden motion, no distortion.</t>
  </si>
  <si>
    <t>CHDEC23006</t>
  </si>
  <si>
    <t>https://www.dropbox.com/scl/fo/zmoi2d4tla4dm9ynulokh/AJpdgo92QNswI9IXceCyDx8?rlkey=udikl1wak4lw8e77hyt4ctbe0&amp;dl=0</t>
  </si>
  <si>
    <t xml:space="preserve">https://www.instagram.com/reel/DSH7k9tCpnd/ ( mở gói quà đoạn đầu tiên )
https://www.dropbox.com/scl/fi/i8wjjif3813lxgruckw0y/AI-agent-HE.mp4?rlkey=eexayxck4q4tif3upyzi99e8c&amp;e=1&amp;st=22wgtr87&amp;dl=0 ( 4 mùa chuyển đổi giống đoạn đầu tiên ) 
xuất tất cả 4k </t>
  </si>
  <si>
    <t>https://www.dropbox.com/scl/fo/ruvktnwt479kpfl09h1ml/ABg-8Vucex2XdJvYd5nvoAs?rlkey=n3pd53pysyehaovk2aoex6glx&amp;st=ztl4ulzm&amp;dl=0</t>
  </si>
  <si>
    <t>4 mùa: https://gemini.google.com/share/3693d5063aa5
mở hộp quà: https://gemini.google.com/share/60c3fcd37351
phòng khách: https://gemini.google.com/share/4cec859c5f42</t>
  </si>
  <si>
    <t>4 mùa: 
- mùa giông: viết prompt tạo video từ ảnh bằng higgsfield.ai, hiệu ứng general, tạo video từ hình ảnh ngôi nhà đang có bầu trời yên bình chuyển sang bầu trời bắt đầu xuất hiện mây giông, tạo cảm giác sắp có một cơn bão sắp đến, có tia sét trong đám mây, góc quay cố định
- mùa đông: viết prompt tạo video từ ảnh bằng higgsfield.ai, hiệu ứng general, tạo video từ hình ảnh bầu trời ngôi nhà đang là một cơn bão dần chuyển sang bầu trời và khung cảnh của ngôi nhà đã được chuyển sang mùa đông, có tuyết rơi, góc quay cố định
- mùa thu: viết prompt tạo video từ ảnh bằng higgsfield.ai, hiệu ứng general, tạo video từ hình ảnh bầu trời ngôi nhà đang là mùa đông sang bầu trời và khung cảnh của ngôi nhà đã được chuyển thành mùa thu, có lá vàng rơi, góc quay cố định
- bầu trời cực quang: viết prompt tạo video từ ảnh bằng higgsfield.ai, hiệu ứng general, tạo video từ hình ảnh bầu trời ngôi nhà đang là mùa thu sang dần bầu trời và khung cảnh của ngôi nhà đã được chuyển thành mùa có bầu trời cực quang, lá vàng biến mất, góc quay cố định
mở hộp quà: viết prompt tạo video từ ảnh bằng higgsfield.ai, hiệu ứng general, tạo video từ hình ảnh quá trình bắt đầu với một hộp quà màu đỏ khổng lồ, hình lập phương hoàn hảo, bao trùm toàn bộ ngôi nhà, được trang trí bằng một dải ruy băng và chiếc nơ lớn màu xanh dương lộng lẫy trên đỉnh. Tiếp theo, hộp quà bắt đầu mở ra, các cạnh của nó tách rời và các bức tường màu đỏ gập xuống hai bên, để lộ ngôi nhà đang bên trong. Cuối cùng, cấu trúc hộp quà hoàn toàn biến mất, chỉ còn lại ngôi nhà được chiếu sáng ấm áp và hai tấm thảm màu đỏ lớn trải phẳng trên đường lái xe, như tàn dư của chiếc hộp đã được tháo dỡ, góc quay cố định
phòng ngủ: viết prompt tạo video từ ảnh bằng higgsfield.ai, hiệu ứng general, tạo video từ hình ảnh một căn phòng ngủ trống không có nội thất chuyển sang hình ảnh căn phòng ngủ xuất hiện đồ nội thất, góc quay cố định</t>
  </si>
  <si>
    <t>4 mùa:
- mùa giông: General cinematic storm-building sky transition.
Using the provided image, create a smooth and realistic atmospheric transition with a completely static, locked-off camera. Start with a calm, peaceful sky above the house, showing clear and stable weather conditions.
Gradually, dark storm clouds begin to form and move across the sky. The clouds grow thicker and heavier over time, creating a strong sense that a storm is approaching. Subtle changes in sky color and contrast enhance the dramatic mood.
Occasional lightning flashes appear inside the storm clouds, illuminating them briefly without striking the ground. The lightning is natural, restrained, and cinematic, reinforcing the feeling of an incoming storm rather than a violent one.
Only the sky and clouds change. The house, ground, trees, lighting on the building, and surroundings remain completely unchanged and still. Cinematic realism, smooth cloud motion, dramatic but controlled atmosphere, no camera movement, no shake.
- mùa đông: General cinematic storm-to-winter transition.
Using the provided image, create a smooth and realistic atmospheric transition with a completely static, locked-off camera. Start with a house under a stormy sky, with dark clouds and an intense, overcast atmosphere.
Gradually, the storm begins to calm and fade away. The dark storm clouds slowly disperse and transform into a cold winter sky. The overall color tone shifts subtly from stormy gray to a cooler winter palette.
As the transition completes, soft snow begins to fall gently from the sky, establishing a clear winter atmosphere around the house. The snowfall is light and continuous, adding calmness and contrast after the storm.
Only the sky, weather, and seasonal atmosphere change. The house structure, camera position, and scene composition remain unchanged. Cinematic realism, smooth weather transition, gentle snow motion, no camera movement, no shake.
- mùa thu: General cinematic winter-to-autumn seasonal transition.
Using the provided image, create a smooth and realistic seasonal transition with a completely static, locked-off camera. Start with the house and surrounding environment clearly in winter, featuring cold tones and a winter sky.
Gradually, the winter atmosphere fades away and transitions into autumn. The sky softens into warmer autumn colors, and the overall environment shifts from cold winter tones to warm fall hues.
As the transition completes, golden and yellow autumn leaves begin to fall gently through the scene, drifting naturally in the air. The leaf movement is soft, slow, and realistic, adding a calm autumn feeling.
Only the sky, seasonal colors, and falling leaves change. The house structure, camera position, and scene composition remain completely unchanged. Cinematic realism, smooth seasonal blending, gentle leaf motion, no camera movement, no shake.
- bầu trời cực quang: General cinematic autumn-to-aurora sky transition.
Using the provided image, create a smooth and realistic atmospheric transition with a completely static, locked-off camera. Start with the house and environment in autumn, featuring a fall sky and warm seasonal tones.
Gradually, the autumn atmosphere fades away. The sky slowly transforms into a night sky illuminated by a vivid aurora borealis. Soft waves of green, blue, and subtle purple aurora lights flow naturally across the sky, creating a magical and cinematic effect.
As the aurora appears, all autumn elements fade out, and yellow falling leaves completely disappear from the scene. The environment becomes calm and still, with no remaining fall motion.
Only the sky and seasonal atmosphere change. The house, ground, trees, and overall composition remain completely unchanged. Cinematic realism, smooth sky transformation, elegant aurora movement, no camera movement, no shake.
mở hộp quà: A spectacular transformation of a cinematic gift box house.
Using the provided image, create a high-quality film scene with a completely static, fixed camera. The scene begins with a giant red gift box, a perfect cube, enclosing the entire house. The box is wrapped in a wide decorative ribbon and adorned with a large, elegant blue bow in the center of the roof.
Gradually, the gift box begins to open. The ribbon loosens, and the red box panels separate neatly. The four red walls fold down on either side in a symmetrical, controlled, gentle motion to reveal the house inside.
When the box panels complete their movement, the gift box structure disappears completely, revealing the house within.
All transitions are smooth and elegant, with realistic movement and cinematic lighting. There is no camera movement, no shaking, and no additional environmental changes.
phòng ngủ: General cinematic bedroom furnishing reveal.
Using the provided image, create a smooth and realistic transformation with a completely static, locked-off camera. Start with an empty bedroom with no furniture or decor.
Gradually, bedroom furniture and interior elements appear naturally in place, forming a complete and cozy bedroom. Items such as the bed, nightstands, lamps, wardrobe, and subtle decor materialize smoothly and neatly without popping or sudden motion.
The room structure, walls, floors, ceiling, windows, and layout remain unchanged throughout the transition. Only the bedroom furnishings are added. Cinematic realism, clean object appearance, smooth transitions, no camera movement, no shake.</t>
  </si>
  <si>
    <t>TLDEC23007</t>
  </si>
  <si>
    <t>https://www.dropbox.com/scl/fo/gegp7x0gw2fu08x5tyg29/ABGLXzcGyDM2HUfb5YB0-O0?rlkey=192pqpxqbbdzlfd2xy6tjfwbf&amp;st=88o2qozd&amp;dl=0</t>
  </si>
  <si>
    <t xml:space="preserve">1) At :00, Add Christmas decorations to the front of the home. Make it similar to what you did in the other videos you’ve done for us recently. Put wreaths on all windows and entrance. Put lush green garland around the front entrance. Add red bows and ribbon. Add 2 large planters on each side of the entrance. Put tall green cedar or spruce trees in the planters. Use white lights on all wreaths and garland. If trees nearby, add white lights to the trees. It doesn’t snow much at all in Atlanta, Georgia where this count is, so if you add snow to the house and ground, make it a light snow. It may be best to just have it snow lightly. Make snow that is falling look as real as possible. 
2) At :10, Add cozy and classy furniture to the living room and include Christmas decorations. Include a tall, large Christmas tree with a lot of wrapped presents under the tree. Add lush, green garland to the fireplace mantle, have it hang long on each side of the fireplace. Add fire in the fireplace. 
3) At :16, add flames to all of the gas burners on the stove top, do this like you have done for us previously. 
4) At :26, Add furniture and Christmas decorations to the master bedroom. 
5) At :49, on the back patio seating area add patio furniture and Christmas decorations to the fireplace mantle and include a Christmas tree. Put white lights on all garland and the tree. Include a few large planters by the pool area with greenery and white lights. Add fire to the fireplace. Add a light snow falling. 
</t>
  </si>
  <si>
    <t>https://www.dropbox.com/scl/fo/nhrkr2lwv3vk7me6phyll/ACpo5XzKh9bubuPCYN1Ldk0?rlkey=077y0j0r2c9g4si5h5rzyndvl&amp;st=ib6s6n18&amp;dl=0</t>
  </si>
  <si>
    <t>1. mặt tiền: 
https://gemini.google.com/share/96b091555500
https://gemini.google.com/share/f218dbabf394
2. phòng khách: 
https://gemini.google.com/share/7c1aad36785d
3. phòng ngủ:
https://gemini.google.com/share/bb72446bd975
4. thắp lửa bếp ga:
không rend ảnh
5. sân sau:
https://gemini.google.com/share/4454ed338e9b</t>
  </si>
  <si>
    <t>1. mặt tiền:
viết prompt tạo video từ ảnh bằng higgsfield.ai, hiệu ứng general, tạo video từ hình ảnh ngôi nhà được  trang trí giáng sinh, và có tuyết rơi nhẹ, góc quay cố định
2. phòng khách:
viết prompt tạo video từ ảnh bằng higgsfield.ai, hiệu ứng general, tạo video từ hình ảnh căn phòng khách xuất hiện đồ nội thất và được trang trí giáng sinh, khi căn phòng được trang trí giáng sinh xong lửa ở trong lò sưởi cũng bắt đầu được bật lên, ngọn lửa nhẹ nhàng, bập bùng, góc quay cố định
3. phòng ngủ:
viết prompt tạo video từ ảnh bằng higgsfield.ai, hiệu ứng general, tạo video từ hình ảnh căn phòng ngủ xuất hiện nội thất và được trang trí bằng các chi tiết giáng sinh, giúp căn phòng trở nên sinh động hơn, góc quay cố định
4. thắp lửa bếp ga: có mẫu promt sẵn
5. sân sau: 
viết prompt tạo video từ ảnh bằng higgsfield.ai, hiệu ứng general, tạo video từ hình ảnh sân sau nhà xuất hiện đồ nội thất và được trang trí bằng các chi tiết giáng sinh, có tuyết rơi nhẹ, góc quay cố định</t>
  </si>
  <si>
    <t>1. mặt tiền: 
Cinematic Christmas house decoration scene.
Using the provided image, create a cozy cinematic scene where the house is fully decorated in a Christmas theme. Festive elements such as warm string lights, wreaths, garlands, and subtle holiday decorations are clearly visible on the house.
Soft snow gently falls from the sky throughout the scene, creating a calm and magical winter atmosphere. The snowfall is light, natural, and evenly distributed, without obscuring the house or surrounding details.
The camera remains completely fixed and stable with no movement or shake. Lighting is warm and inviting, contrasting beautifully with the cool winter tones. All elements remain consistent, with smooth motion and a peaceful holiday mood.
2. phòng khách:
Transform your living room into a cinematic Christmas scene.
Using the provided images, create a smooth, cinematic transformation scene for your living room. The camera remains completely still and does not move throughout the video.
The scene begins with a living room where Christmas furnishings and decorations gradually appear. The furnishings are placed naturally. All the decorations appear gentle, neat, and precisely in their positions, without any jerky or random movements.
After the living room is fully furnished and decorated for Christmas, the fireplace is lit. A warm, gentle flame rises inside the fireplace, flickering softly and naturally. The fire remains small and cozy, with no smoke and no sparks.
The light becomes warmer as the decorations and fireplace are revealed, adding to the cozy atmosphere. There are no camera movements, no distortions of the scene, smooth transitions, cinematic lighting, and a peaceful, festive mood.
3. phòng ngủ:
Transforming a Bedroom Interior for Christmas.
Using the provided images, create a smooth and cinematic transformation video in which the bedroom interior is gradually arranged and fully decorated with Christmas elements. The camera remains completely still throughout the video.
Furniture appears naturally, including the bed, bedside table, and other bedroom essentials, followed by vibrant Christmas ornaments and delicate holiday decorations. Each ornament appears gently and precisely in its position, without jerking or random movement.
The overall atmosphere becomes warmer and more vibrant as the ornaments are added, enhancing the cozy Christmas ambiance. The lighting remains soft and realistic, with smooth transitions and no abrupt changes.
No camera movement, no shaking, smooth animation, realistic interior lighting, and a gentle, polished cinematic style.
4. thắp lửa bếp ga:
The camera opens on a still, sunlit kitchen. The stovetop sits quietly with all burners off. As the Steadicam glides slowly forward, realistic blue gas flames ignite on every burner—natural, steady, and bright. The camera holds the scene, capturing the soft flicker of the flames and the reflective glow on the metal grates, without changing the structure or details of the original image.
5. sân sau: 
Christmas backyard decoration reveal.
Using the provided image, create a smooth cinematic transformation where the backyard initially appears empty and undecorated. The camera remains completely static and fixed throughout the entire video.
Gradually, outdoor furniture begins to appear naturally in the backyard, including seating and decorative elements, fading in or materializing gently in their correct positions without jumping or shifting.
As the furniture becomes fully visible, Christmas decorations are added progressively, such as festive lights, garlands, ornaments, and subtle holiday accents, enhancing the space and making the backyard feel warm and lively.
A light, gentle snowfall begins and continues softly, adding a calm winter holiday atmosphere. The snow is delicate and does not obscure the scene.
All transitions are smooth and orderly, with realistic lighting, clean visuals, no camera movement, no distortion, and a cozy cinematic Christmas mood.</t>
  </si>
  <si>
    <t>QUDEC24004</t>
  </si>
  <si>
    <t>https://www.dropbox.com/scl/fo/kfxqj3ahnjn5cg2agt3co/AJOpxj19d7n7hrH1nk6TKDM?rlkey=cryi2w059bap4gt9arwkie4da&amp;dl=0</t>
  </si>
  <si>
    <t>thêm đồ vật</t>
  </si>
  <si>
    <t>https://www.dropbox.com/scl/fo/irce11op1etexud0giaol/AGQfqvxPp6-1cYVNHvDLU1w?rlkey=b112gnfve7e8uw29kjggw9cqo&amp;st=uisk1ccz&amp;dl=0</t>
  </si>
  <si>
    <t>1. thêm đồ đạc phòng khách
xoá ghế đơn che lối ra vào đi, chỉ xoá ghế đơn, các ghi tiết còn lại giữ nguyên, tuyệt đối không thay đổi cấu trúc, bố cục và kích thước của phòng
2. thêm đồ đạc phòng ngủ, tuyệt đối không thay đổi bố cục, cấu trúc và kích thước của phòng, chỉ thêm đồ 
thay thảm dưới giường theo phong cách thanh lịch, sang trọng, xoá gương phía trên giường và thêm vào 1 bức tranh treo tường cho phù hợp với căn phòng
3. thêm hố lửa và ghế ngoài trời, thêm bếp bbq và 1 số đồ đạc trang trí vào sân sau này, tuyệt đối không thay đổi bố cục, cấu trúc và kích thước gốc, chỉ thêm đồ
thêm đồ chăn trên ghế xung quanh hố lửa tạo cảm giác ấm cúng
thêm nền lát đá</t>
  </si>
  <si>
    <t>ko dùng prompt</t>
  </si>
  <si>
    <t>QUDEC28002Rev</t>
  </si>
  <si>
    <t>https://www.dropbox.com/scl/fo/p5g0wbp79oihdg75jt97p/ACuG9jsjHrFPFfF61BoYNQ4?rlkey=piabmoer4xxoo70mlwkpk7eth&amp;dl=0</t>
  </si>
  <si>
    <t>Add an AI Virtual Staging transition that generates furniture or a bed here to make the master bedroom feel more lived-in.</t>
  </si>
  <si>
    <t>https://www.dropbox.com/scl/fi/ormum9o5isj1vzhjtdpuc/QUDEC28002Rev.mp4?rlkey=jxxf2st3j9f1mgo6739ivtr5p&amp;st=g4iph51x&amp;dl=0</t>
  </si>
  <si>
    <t>hãy thêm nội thất phòng ngủ chính</t>
  </si>
  <si>
    <t>Create a cinematic interior reveal video from the provided image.
The scene begins as an empty bedroom with bare walls, floor, and no furniture.
One by one, bedroom elements gradually appear in a natural, realistic sequence:
– First, the wooden floor and soft area rug fade in smoothly.
– The bed frame materializes at the center, followed by the mattress, pillows, and neatly layered bedding.
– Nightstands appear symmetrically on both sides, then table lamps softly turn on.
– Wall art, mirrors, and decorative elements fade in naturally without popping.
– Finally, the armchair, bench, and small decor complete the cozy bedroom setup.
All objects appear smoothly using gentle fade-in and subtle slide-in motion, perfectly aligned with the final composition.
The camera remains completely static and stable throughout the entire video.
No camera movement, no zoom, no shake.
Lighting transitions softly from neutral ambient light to warm, inviting interior lighting.
The overall feeling is calm, elegant, modern, and realistic, like a professional interior design reveal.</t>
  </si>
  <si>
    <t>VUDEC30003</t>
  </si>
  <si>
    <t>https://www.dropbox.com/scl/fo/0ltjw7orbdgvwkpvudl8e/AOFgRBA_GCorsdS3zdKIyPM?rlkey=94cu7m65aoked6m2x91hbenwe&amp;dl=0</t>
  </si>
  <si>
    <t xml:space="preserve">xuất hiện đồ vật 
phòng ngủ, phòng khách 1 (từ xa đến gần)
phòng ngủ 2, 3 (từ trái sang phải)
</t>
  </si>
  <si>
    <t>https://www.dropbox.com/scl/fo/7bzwcfmwowxlhfwdco2j0/AFxf2tWTK2u4WrKKHR3Prlw?rlkey=q36ie6y5b5sc67yp72bo9t1hh&amp;st=8k9yx9od&amp;dl=0</t>
  </si>
  <si>
    <t xml:space="preserve">https://gemini.google.com/share/3e61a7026c71 
https://gemini.google.com/share/afbbdd41a1b5 </t>
  </si>
  <si>
    <t>- viết prompt tạo video từ ảnh bằng envato, đồ đạc và nội thất phòng khách lần lượt xuất hiện từ căn phòng trống
- viết prompt tạo video từ ảnh bằng envato, đồ đạc và nội thất phòng ngủ lần lượt xuất hiện từ căn phòng trống, góc quay từ xa đến gần
- viết prompt tạo video từ ảnh bằng envato, đồ đạc và nội thất phòng ngủ lần lượt xuất hiện từ căn phòng trống, góc quay từ trái sang phải
- viết prompt tạo video từ ảnh bằng envato, đồ đạc và nội thất phòng ngủ lần lượt xuất hiện từ căn phòng trống, góc quay từ trái sang phải</t>
  </si>
  <si>
    <t>1. Create a smooth, realistic cinematic video from the input image.
The scene begins with an empty living room space — clean floor, blank walls, and natural daylight coming through the windows.
One by one, the living room furniture gradually appears in a natural sequence:
– The large area rug softly fades in and settles onto the floor.
– The coffee table materializes at the center of the room.
– The sofa gently appears against the back wall, followed by the two armchairs forming the seating arrangement.
– Decorative elements such as cushions, throw blanket, plants, and wall art appear subtly, as if being placed naturally.
Each object emerges smoothly without popping, flickering, or sudden jumps, maintaining perfect scale and alignment with the original image.
Lighting remains consistent and realistic throughout the scene, preserving the original daylight, shadows, and reflections.
No new objects are added, no furniture is removed, and the final composition exactly matches the original image.
Camera is completely static — no zoom, no pan, no tilt.
The atmosphere feels calm, warm, and modern, showcasing a beautifully furnished living room coming to life from an empty space.
2. Create a smooth, realistic video from the provided image.
The scene begins as an empty bedroom, with all furniture and decor initially invisible.
One by one, the bedroom interior gradually appears in a natural sequence:
the bed frame fades in first, followed by the mattress, pillows, blanket, bedside table, lamp, rug, dresser, mirror, wall artworks, and ceiling fan.
Each object materializes smoothly with soft fade-in or subtle slide-in motion, perfectly aligned to its original position in the image.
The camera slowly moves from far to near (gentle dolly-in), maintaining a stable, cinematic motion with no shaking or flickering.
Lighting remains consistent, soft, and realistic, matching natural daylight from the window.
Preserve the original composition, proportions, colors, and layout exactly as in the source image.
Do not add or remove any objects.
No extra decorations, no people, no changes to architecture.
The final frame reveals the fully furnished bedroom exactly matching the original image, creating a calm, elegant, and modern atmosphere.
3. Create a smooth, realistic video from the provided bedroom image.
The scene begins as an empty bedroom with the same lighting, walls, windows, and floor exactly matching the original image.
Bedroom furniture and interior elements gradually appear one by one in a natural sequence:
First, the large area rug softly fades in and settles on the floor.
Next, the bed frame and mattress appear at the center, followed by pillows and blankets gently forming on top.
The bedside tables materialize on both sides of the bed, then table lamps fade in and softly illuminate.
Decorative elements such as wall art, mirror, and small décor items appear subtly.
Finally, the chair, indoor plant, and remaining accessories complete the room.
The camera slowly pans from left to right in a steady, cinematic motion, maintaining a consistent height and distance.
Lighting remains soft, natural, and stable throughout the video.
No flickering, no shaking, no added objects, no changes to the original layout or proportions.
The final frame perfectly matches the original furnished bedroom image, creating a clean, elegant interior reveal.
4. Create a smooth, realistic video from the input image of a modern bedroom, starting from an empty room state.
As the video progresses, the bedroom furniture and decor gradually appear one by one, forming the final fully furnished bedroom exactly as in the original image.
Reveal sequence (left to right):
First, the bed frame and mattress softly fade in and settle into place.
Pillows, blanket, and bedspread appear naturally on the bed.
Nightstands and bedside lamps appear next to the bed, lights turning on gently.
Wall artworks above the bed fade in smoothly.
The dresser on the right side appears, followed by the round wall mirror and decorative items.
Final details like rug, curtains, and soft ambient lighting complete the room.
Camera &amp; motion:
Slow, steady pan from left to right
Fixed height, no zoom, no shake
Cinematic but subtle movement
Visual style:
Soft natural daylight
Warm, cozy, minimal aesthetic
Realistic shadows and lighting transitions
No flickering, no distortion
Constraints (important):
Keep original layout, proportions, and composition
Do NOT add or remove furniture
No new objects, no people
Clean, high-end interior visualization style</t>
  </si>
  <si>
    <t>HTJAN01005Rev</t>
  </si>
  <si>
    <t>https://www.dropbox.com/scl/fo/49bljgbxwtxsq2wlnlx6l/AGJbsw3idUza0Iz1Uqog5O0?rlkey=qzvldyx5k14e8hgcrvqnee191&amp;st=oyf579nr&amp;dl=0</t>
  </si>
  <si>
    <t>Please add a virtual staging of a bed</t>
  </si>
  <si>
    <t>https://www.dropbox.com/scl/fi/zxajr04z3uvcgq0xm3ui4/HTJAN01005Rev.mp4?rlkey=mkwl91ecew8ray8l2dlldh4fj&amp;st=mmc6818p&amp;dl=0</t>
  </si>
  <si>
    <t>Tạo hình ảnh giường trong phòng trống, giữ nguyên các chi tiết khác trong ảnh, chỉ thêm giường</t>
  </si>
  <si>
    <t xml:space="preserve">viết prompt tạo video từ ảnh, tôi dùng envato, tạo video mô phỏng chiếc giường có trong căn phòng, chiếc giường hiện ra từ từ,  góc cam cố định, chuyển động nhẹ nhàng, không bị nhanh quá hay chậm quá
</t>
  </si>
  <si>
    <t>A clean, empty room with neutral colors.
A modern bed slowly appears in the center of the room, fading in smoothly as if being gently placed into the space.
The motion is soft, elegant, and seamless, with no shaking or sudden movement.
The camera angle remains fixed and stable throughout the scene.
Lighting is natural and balanced, shadows gradually form as the bed appears.
Cinematic, realistic style, calm and minimal atmosphere, smooth transition.</t>
  </si>
  <si>
    <t>CAJAN02007</t>
  </si>
  <si>
    <t>https://www.dropbox.com/scl/fo/az1pfqrhbudjnhnl0qcm0/ACYIlddpKYUs5D1qHv57_KA?rlkey=hn2elrz94sr2lopnq674vgel9&amp;dl=0</t>
  </si>
  <si>
    <t>cảnh ngoại thất biến thành trời đêm có phao hoa và chữ " Happy New Year" cảnh trong nhà xuất hiện đồ nội thất và có người vui vẻ</t>
  </si>
  <si>
    <t>https://www.dropbox.com/scl/fo/5f7h3vcbf2ciqvty98bhs/ADgM2-987Fq6psLz8GBmnVs?rlkey=3zgjjj6flz2mdo76885p0gken&amp;st=znjcntzj&amp;dl=0</t>
  </si>
  <si>
    <t xml:space="preserve">bầu trời đêm: https://gemini.google.com/share/0380721c36d9
Pháo hoa và có chữ: https://gemini.google.com/share/b86ec92e0bab
xuất hiện nội thất và người: https://gemini.google.com/share/45b8d6a372cd
</t>
  </si>
  <si>
    <t>pháo hoa:
viết prompt tạo video từ ảnh bằng envato, tạo video từ hình ảnh ngôi nhà và khung cảnh buổi sau đó ở một góc ảnh bắt đầu có pháo hoa bắn lên và dòng chữ "Happy new year" hiện ra một cách tự nhiên, chân thật. Góc quay cố định. Pháo hoa bắn 1 cách mượt mà, liền mạch, với phong cách cinematic.
thêm người:
viết prompt tạo video từ ảnh bằng envato, tạo video từ hình ảnh một căng phòng khách đang có một đôi vợ chồng trẻ đang sinh hoạt trong căn phòng,  góc quay cố định.  Chuyển cảnh 1 cách mượt mà, liền mạch, với phong cách cinematic.</t>
  </si>
  <si>
    <t>-) Pháo hoa:
Create a cinematic video from the image using Envato. The scene begins with a static shot of the house and its surrounding landscape at dusk or night, preserving the original composition and perspective. As the moment unfolds, fireworks gradually start launching from one area of the frame, rising smoothly into the sky with elegant, natural motion and soft glowing trails. Shortly after, the text “Happy New Year” appears organically in the scene, as if illuminated by the festive atmosphere, remaining stable and clearly readable without floating or jittering. The fireworks continue to burst gently and continuously, enhancing the celebratory mood while keeping the house and environment unchanged. The overall transition and animation should feel smooth, realistic, and cohesive, with a warm cinematic style and no camera movement throughout the shot.
+) Xuất hiện nội thất và người: 
Create a cinematic video from the provided image using Envato. The scene shows a modern living room where a young couple is spending time together in a natural, everyday moment. The camera remains completely fixed throughout the shot, with no shake or zoom, preserving the original composition and layout of the room. The woman sits comfortably with a relaxed posture, while the man moves gently within the space, interacting naturally with the environment, creating a sense of warmth and real daily life. Movements are subtle and realistic, such as small gestures, head turns, and soft body motion, without adding any new characters or objects. The lighting stays soft and balanced, enhancing the cozy and intimate atmosphere of the living room. The transition and motion feel smooth, continuous, and lifelike, maintaining a cinematic style while keeping the scene calm, stable, and visually harmonious.</t>
  </si>
  <si>
    <t>LIJAN03002</t>
  </si>
  <si>
    <t>https://www.dropbox.com/scl/fo/ul6fuusbrx3gtptmf9s1e/AOZYc8_MZBAe529kGEFSSoU?rlkey=s3xrluyi7gk8swql4je4kkpic&amp;st=bkkqzx1j&amp;dl=0</t>
  </si>
  <si>
    <t xml:space="preserve">https://www.instagram.com/reel/DS9QyXqkxwM/?igsh=a3J4eWphdnBsMHE1
3 AI chuyển động như sample
Let’s do something in the kitchen 
Something in the living room 
And in the main bedroom
</t>
  </si>
  <si>
    <t>https://www.dropbox.com/scl/fo/i07b0n85tfsm4xz867a0t/AFFCrGsJviFgqjHYgoz3sDw?rlkey=gnc4nbozdzs8uan02v7upxoe0&amp;st=5bsqv0uq&amp;dl=0</t>
  </si>
  <si>
    <t>- thêm đồ nội thất vào trong căn phòng khách này, chỉ thêm đồ nội thất và không thay đổi bất kỳ chi tiết nào khác trong ảnh, chọn kiểu dáng ghế sofa dài màu trắng kem, quay vào bên trong tường,góc cam và kích thước ảnh cũng phải được giữ nguyên. thêm cho tôi một gia đình đang quây quần vui vẻ ở phòng khách, ông bà ôm một đứa cháu ngồi ở ghế bên trái, bố mẹ ngồi ở ghế bên phải đang dang tay về phía trước đón một đứa bé đang bước đi, không khí có sự vui vẻ
-https://gemini.google.com/share/be6fbfb3e8ee</t>
  </si>
  <si>
    <t>- viết prompt tạo video từ ảnh, tôi dùng envato, tạo video một gia đình 5 người đang nấu ăn ở trong phòng bếp, chuyển động nhẹ nhàng, có sự tương tác với nhau, không khí nấu ăn vui vẻ, chuyển động không bị nhanh quá hay chậm quá, góc cam và các chi tiết khác không thay đổi
-viết prompt tạo video từ ảnh, tôi dùng envato, tạo video một gia đình 5 người đang chơi ở trong phòng ngủ, bố mẹ ôm bé gái ở trên giường và bố mẹ nhìn xuống 2 đứa bé đang chơi và cười vui vẻ, 2 đứa bé cũng đang chơi đùa vui, chuyển động nhẹ nhàng, có sự tương tác với nhau, chuyển động không bị nhanh quá hay chậm quá, góc cam và các chi tiết khác không thay đổi
- viết prompt tạo video từ ảnh, tôi dùng envato, tạo video một gia đình 6 người ông bà ôm một đứa cháu , bố mẹ ngồi ở ghế bên phải đang dang tay về phía trước đón một đứa bé đang bước đi, không khí có sự vui vẻ, mọi người có sự tương tác, trò chuyện qua lại với nhau, chuyển động không bị nhanh quá hay chậm quá, góc cam và các chi tiết khác không thay đổi</t>
  </si>
  <si>
    <t>Create a warm, natural, and cinematic animation from the image.
A family of five is cooking together in the kitchen, interacting happily in a joyful and relaxed atmosphere.
Subtle and realistic interactions: family members gently talking to each other, smiling, exchanging looks, and making light hand gestures while cooking (stirring, holding ingredients, passing items).
Movements are smooth, soft, and well-balanced — not too fast, not too slow.
The cooking activity feels lively but calm, reflecting a happy family moment.
Camera remains completely fixed and locked to the original image — no pan, no tilt, no zoom, no shake.
Preserve the original camera angle, framing, composition, colors, lighting, textures, and all kitchen details exactly as in the source image.
Only the people are animated; the kitchen environment, furniture, appliances, and background remain completely unchanged.
Maintain facial identity, body proportions, clothing details, and natural body posture.
Lighting remains consistent with no flicker or exposure changes.
No added objects, no extra people, no scene alterations, no distortion, no exaggerated motion.
Create a warm, natural, and cinematic animation from the image.
A family of five is spending joyful time together in the bedroom.
The parents are sitting on the bed, gently holding and hugging their young daughter, smiling and looking down warmly.
Two other children are playing happily nearby, laughing and interacting with each other in a playful but gentle manner.
Parents occasionally look at the children with soft smiles, showing natural family interaction and affection.
Movements are subtle, realistic, and well-balanced — gentle head turns, small hand gestures, light body shifts, natural facial expressions.
The overall motion feels calm and joyful — not too fast, not too slow.
Camera remains completely fixed and locked to the original image — no pan, no tilt, no zoom, no rotation, no shake.
Preserve the original camera angle, framing, perspective, colors, lighting, textures, and all bedroom details exactly as in the source image.
Only the people are animated; the bed, room, furniture, and background remain completely static and unchanged.
Maintain facial identity, body proportions, clothing details, and natural posture consistency.
Lighting remains stable and consistent with no flicker or exposure changes.
No added objects, no extra people, no scene alterations, no distortion, no exaggerated motion.
Create a warm, natural, and cinematic animation from the image.
A family of six is spending a joyful moment together.
The grandparents are gently holding and hugging one grandchild, smiling warmly and interacting lovingly.
On the right side, the parents are sitting on chairs, extending their arms forward to welcome a baby who is slowly and carefully walking toward them.
The baby takes small, natural steps forward with balanced and realistic movement.
Family members interact naturally by smiling, looking at each other, and lightly talking, creating a happy and affectionate family atmosphere.
Movements are subtle, smooth, and well-paced — not too fast, not too slow.
Camera remains completely fixed and locked to the original image — no pan, no tilt, no zoom, no rotation, no shake.
Preserve the original camera angle, framing, perspective, colors, lighting, textures, and all environmental details exactly as in the source image.
Only the people are animated; the background, furniture, and surroundings remain completely static and unchanged.
Maintain facial identity, body proportions, clothing details, and natural posture consistency.
Lighting remains stable and consistent with no flicker or exposure changes.
No added objects, no extra people, no scene alterations, no distortion, no exaggerated motion.</t>
  </si>
  <si>
    <t>CHJAN03004</t>
  </si>
  <si>
    <t>https://www.dropbox.com/scl/fo/2wm8ogbjx2qveluphgp79/ANFVjQSj4FQ-S9vL8Ae9vvY?rlkey=l9z6aahcljrwcx41g1hhcfrd8&amp;dl=0</t>
  </si>
  <si>
    <t>(Xuất video 4k)
1. Thêm đồ vật phòng khách (xuất hiện lên từ từ)
1. Thêm đồ vật phòng ngồi / sitting room (xuất hiện lên từ từ)</t>
  </si>
  <si>
    <t>https://www.dropbox.com/scl/fo/evhmcv6mn8p7kyq9vuwv9/AD2Ayuy4Xy1iBUsRw6tOFuA?rlkey=vr3hxzm55qi3rtwhmwu7qqytx&amp;st=bcdlns0q&amp;dl=0</t>
  </si>
  <si>
    <t>1. hãy thêm nội thất phòng khách hiện đại, thanh lịch (có TV) , tuyệt đối không thay đổi cấu trúc của phòng, thêm lửa lò sưởi
xóa sofa chữ L đi và đặt lại sofa bình thường
2. hãy thêm nội thất và đồ đạc phòng sitting room hiện đại, thanh lịch, tuyệt đối không thay đổi cấu trúc của phòng</t>
  </si>
  <si>
    <t>1. viết prompt tạo video từ ảnh bằng envato, đồ đạc phòng khách lần lượt xuất hiện từ căn phòng trống, lò sưởi dần được thắp lửa. Góc quay cố định.
2. viết prompt tạo video từ ảnh bằng envato, đồ đạc phòng sitting room lần lượt xuất hiện từ căn phòng trống. tôi muốn đồ đạc hiện ra mượt mà, chân thực, không thêm bất kỳ đồ nào trong quá trình chuyển đổi. Góc quay cố định.</t>
  </si>
  <si>
    <t>1. Create a cinematic video from the input image, starting with an empty living room as image 1. Preserve the exact original layout, architecture, and camera angle of the room. The camera must remain completely fixed — no pan, no tilt, no zoom, no shake.
Throughout the transition, all living room furniture gradually appears one by one in a smooth, realistic, and natural manner, as if the room is being carefully furnished over time. Each object (sofa, armchairs, coffee table, rug, shelves, TV, lamp, fireplace, plants, etc.) appears in its correct final position, scale, and shape, matching the image 2 precisely. No objects move, slide, or morph.
Do not add any new objects, decorations, people, or details beyond what exists in the original image. No light flickering, no flashing, no sudden brightness changes — lighting must remain stable and consistent throughout the video.
As the space becomes fully furnished, the fireplace slowly comes to life, with a gentle ignition of flames that builds gradually into a warm, steady fire, casting a subtle, cozy glow into the room. The lighting transition should feel organic and cinematic, enhancing the sense of warmth and comfort without altering the room’s layout or perspective. All transitions must be smooth, continuous, and seamless, with no camera movement, no shaking, and no changes to the original framing, creating a calm, high-end cinematic transformation from an empty room into a fully furnished, inviting living space.
The transition should be slow, seamless, and continuous, creating a refined and believable furnishing effect. The overall style is cinematic, clean, high-end, and realistic, ending with the fully furnished room identical to the image 2.
 2. Create a cinematic video from the provided image using Envato, beginning with the sitting room completely empty while strictly preserving the original room structure, perspective, and composition. The camera remains fully fixed and stable throughout the entire video, with no movement, no zoom, and no shake. One by one, the existing furniture and decor items gradually appear in a smooth, realistic, and natural manner, as if gently materializing into place as image 2. 
First the wall shelves and decorative objects on the left side softly fade into place, followed by the plants, the two of chairs, artwork, and lamp, then the rug and coffee table, and finally the sofa and remaining furnishings on the right side. Each item should emerge seamlessly without popping, flickering, or shifting position.
Each object emerges seamlessly, maintaining its exact position, scale, orientation, and design as shown in the final image. No new furniture, decorative items, or additional details are introduced at any point during the transition. The lighting stays consistent and soft, with no flickering, flashing, or sudden exposure changes. The overall transition is calm, continuous, and believable, creating a polished cinematic feel as the empty sitting room slowly transforms into the fully furnished space exactly matching the original image.</t>
  </si>
  <si>
    <t>THJAN03005rev</t>
  </si>
  <si>
    <t>https://www.dropbox.com/scl/fo/gr8di6mg0h4l986azs2uf/AIqxZZIoB0CT9mA0kOo_ogY?rlkey=j28f3h8bz4nhmf6w8hdez9vpv&amp;dl=0</t>
  </si>
  <si>
    <t>Thêm đồ vật tương ứng với phòng đã note</t>
  </si>
  <si>
    <t>https://www.dropbox.com/scl/fo/b5b2hlzkpek5hvfoioas3/AEE3PBBgdBRxOU1chxU2Ccs?rlkey=ravxzoai60wgnpsbma3l084hq&amp;st=fvce5uc4&amp;dl=0</t>
  </si>
  <si>
    <t>https://gemini.google.com/share/07f9efab7ad1</t>
  </si>
  <si>
    <t>1. Create a cinematic interior transformation video from an empty living room to a fully furnished living room, based on the provided image.
Fixed camera position, locked-off shot, no camera movement, no zoom, no rotation.
Start with a completely empty, clean room: bare floor, white walls, natural daylight from windows.
Furniture and decor appear one by one in logical order:
first sofa, then rug, coffee table, TV console, TV, chairs, shelves, lamps, plants, cushions, and final decorative details.
Each object fades in or slides subtly into place with smooth easing and natural timing.
Lighting remains consistent and realistic, soft daylight, no exposure changes.
No flickering lights, no popping objects, no sudden jumps.
Smooth continuous motion, seamless transitions, ultra-clean render.
Modern cinematic interior style, calm and elegant atmosphere, professional real estate presentation.
High realism, no visual artifacts, no distortion, no ghosting.
2. Create a smooth cinematic reveal video from the image. Start with an empty bedroom shell (no furniture). With a fixed camera angle, the bedroom interior gradually appears in a clean, realistic sequence: walls and ceiling finish first, then the floor, followed by the bed, rug, bedside tables, lamps, artwork, mirror, curtains, and final decorative details. Each element fades in and assembles naturally in place, with no sliding, popping, or object distortion. Preserve the original layout, proportions, lighting, and perspective exactly as the source image. Seamless, stable transition, realistic lighting buildup, calm and elegant atmosphere, high-end interior visualization style.
3. Create a cinematic interior reveal from the image. Start with an empty bedroom shell. With a fixed camera, the bedroom furniture gradually appears in place: floor and walls first, then bed, rug, nightstands, lamps, dresser, artwork, curtains, and final details. Smooth, seamless transitions, no sliding, no popping, no object distortion. Preserve the original layout, scale, lighting, and perspective exactly. Clean, realistic, high-end interior visualization.
4. Create a cinematic interior reveal from the image. Start with an empty bedroom shell. With a fixed camera, the bedroom furniture gradually appears in place: floor and walls first, then bed, rug, nightstands, lamps, dresser, artwork, curtains, and final details. Smooth, seamless transitions, no sliding, no popping, no object distortion. Preserve the original layout, scale, lighting, and perspective exactly. Clean, realistic, high-end interior visualization.</t>
  </si>
  <si>
    <t>QUJAN05001</t>
  </si>
  <si>
    <t>https://www.dropbox.com/scl/fo/ufwgclog97drwxfp9vuxx/AHkgT9DTc2ICRcFX_LAZYbY?rlkey=1tc9mw46poq50ho28zqovfv55&amp;dl=0</t>
  </si>
  <si>
    <t>fill đồ các phòng trống,1 day to dusk ở trước nhà</t>
  </si>
  <si>
    <t>https://www.dropbox.com/scl/fo/x4qi8m5h3snmtc5sf14t8/AMdDvDaWWksBmC7tPU9ct3Q?rlkey=j6ldbhpihwvm9ejdz2uc7ny2j&amp;st=8obn4lxp&amp;dl=0</t>
  </si>
  <si>
    <t>https://gemini.google.com/share/acab957cc212</t>
  </si>
  <si>
    <t>1. Viết prompt tạo video từ ảnh bằng envato, đồ đạc và nội thất phòng ăn lần lượt xuất hiện từ căn phòng trống, chuyển cảnh liên tục, mượt mà, góc quay từ xa đến gần
2. Viết prompt tạo video từ ảnh bằng envato, đồ đạc phòng khách bao gồm bàn trà, ghế sofa, tranh treo tường, chậu cây và 1 số đồ đạc khác lần lượt xuất hiện từ căn phòng trống, camera đâm thẳng vào phòng mượt mà, ổn định
3. Viết prompt tạo video từ ảnh bằng envato, đồ đạc phòng ngủ bao gồm giường, 2 tủ đầu giường, đèn ngủ, ghế bành, tranh treo tường, thảm và rèm cửa lần lượt xuất hiện từ căn phòng trống, camera đâm thẳng vào phòng mượt mà, ổn định
4. Viết prompt tạo video từ ảnh bằng envato, hiệu ứng timelapse landscape, chuyển cảnh từ ngày (ảnh 1) sang đêm (ảnh 2), chuyển tiếp mượt mà, liên tiếp, không nháy đèn, phong cách cinematic, camera đâm thẳng về phía ngôi nhà mượt mà, ổn định</t>
  </si>
  <si>
    <t>1. Create a cinematic transformation video from the input image, showing an empty dining room gradually becoming fully furnished.
Dining room elements appear one by one in a natural, realistic order:
first the area rug, then the dining table, followed by chairs, table settings (plates, bowls, glasses), centerpiece flowers, sideboard cabinet, wall mirror, and decorative accessories.
Each object materializes smoothly using soft fade-in and subtle morphing, as if gently placed into the room.
No sliding into frame, no popping, no sudden scaling, no object jumping.
The transition is continuous, seamless, and fluid, with consistent lighting, realistic shadows, and stable exposure.
No flicker, no pixel noise, no shimmering dots, no blinking highlights.
Camera performs a slow, steady dolly-in from a wide view to a closer framing, perfectly stabilized with no shake or jitter.
Walls, doors, windows, ceiling, and room structure remain completely unchanged throughout the video.
Style: elegant, realistic, cinematic interior staging, high-end real estate presentation.
2. Create a cinematic interior transformation video from the input image, starting with an empty living room.
Living room furniture and decor appear one by one in a realistic staging sequence:
first the sofa, then the coffee table, followed by wall art, potted plants, and additional decor elements.
Each object materializes smoothly in place with soft fade-in and subtle morphing,
no popping, no sliding, no sudden scale changes.
The camera performs a slow, straight dolly-in movement, moving directly forward into the room.
The camera path is perfectly stable, centered, and aligned with the room’s perspective.
No rotation, no tilt, no shake.
Lighting, shadows, and reflections remain consistent and stable throughout the shot.
No flickering, no blinking pixels, no noise or compression artifacts.
The final frames hold on the fully furnished living room, clean, balanced, and professionally staged.
Style: modern real estate interior, cinematic lighting, realistic materials, seamless transitions, high-quality visualization.
3. Create a cinematic interior transformation video from the input image, starting with an empty bedroom.
As the scene progresses, bedroom furniture and decor appear sequentially in place in a natural staging order:
first the bed, then two bedside tables, followed by bedside lamps, an armchair, wall art, the area rug, and finally the curtains.
Each object materializes smoothly using soft fade-in and subtle morphing,
with no popping, no sliding, and no sudden scaling.
The camera performs a slow, straight dolly-in movement, moving directly forward into the room.
The camera path is perfectly stable and centered, with no tilt, no rotation, and no shake.
Lighting, shadows, and reflections remain consistent and realistic throughout the entire shot.
No flickering, no blinking pixels, no noise or visual artifacts.
The final frames hold on the fully furnished bedroom, calm, elegant, and professionally styled.
Style: modern real estate interior, cinematic lighting, photorealistic materials, seamless transitions, high-quality visualization.
4. Create a cinematic timelapse landscape video using the provided images.
The scene smoothly transitions from daytime (Image 1) to nighttime (Image 2), maintaining the exact house structure, composition, and surroundings.
The daylight gradually fades into dusk and then into night through natural sky darkening and ambient light changes, without any sudden brightness shifts or flickering.
All exterior and interior lights turn on gradually and evenly, with no blinking, no flashing, and no random light pulses.
Snow, driveway tracks, trees, and background remain completely stable and unchanged throughout the transition.
The camera performs a slow, smooth, straight dolly-in movement toward the house, centered on the building, with no shake, no zoom jumps, and no rotation.
The motion is continuous, calm, and cinematic, enhancing a peaceful evening atmosphere.
Lighting is realistic and physically consistent:
– Soft daylight → warm dusk tones → calm nighttime illumination
– Warm interior window lights glow steadily
– Street lamp turns on smoothly without flicker
No added objects, no people, no vehicles, no weather changes.
No light flicker, no exposure pumping, no pixel noise, no flashing artifacts.
Ultra-smooth transition, realistic timelapse pacing, cinematic color grading, stable camera, high realism.</t>
  </si>
  <si>
    <t>TAJAN04001</t>
  </si>
  <si>
    <t>https://www.dropbox.com/scl/fo/378ci9naio3b8j5poceld/AGopSujUFnTcnnSLa-9tp6Q?rlkey=by7roqxjuneykqiays3copu3y&amp;st=zkb01xic&amp;dl=0</t>
  </si>
  <si>
    <t>ai ngày đêm , ai hiện nội thất phòng ngủ và phòng khách</t>
  </si>
  <si>
    <t>https://www.dropbox.com/scl/fo/pv0rxoj0f1i27d7lly3vw/AL7seRXCmeHs7gBDnh-3XuE?rlkey=dzariq11lqx4o2mesmlux5txv&amp;st=q8dvnwdb&amp;dl=0</t>
  </si>
  <si>
    <t>1. hãy tạo cảnh chụp ban đêm cho hình ảnh này
2. https://gemini.google.com/share/7eb07e9dbd43
3.  https://gemini.google.com/share/4cc2dc417a57</t>
  </si>
  <si>
    <t>1. Viết prompt tạo video từ ảnh bằng envato, chuyển cảnh từ ngày (ảnh 1) sang đêm (ảnh 2), chuyển tiếp mượt mà, liên tục, không nháy đèn, không rung lắc, phong cách cinematic, góc máy từ xa đến gần ổn định
2. Viết prompt tạo video từ ảnh bằng envato, đồ đạc và nội thất phòng ngủ lần lượt xuất hiện từ căn phòng trống, chuyển cảnh liên tục, mượt mà, góc quay cố định
3. Viết prompt tạo video từ ảnh bằng envato, đồ đạc và nội thất phòng khách xuất hiện từ căn phòng trống, lò sưởi được thắp lửa, góc quay cố định</t>
  </si>
  <si>
    <t>1. Create a cinematic day-to-night transition from Image 1 (daytime) to Image 2 (nighttime).
The lighting transition must be perfectly smooth and continuous, with no pixel flickering, no sparkling dots, no grain noise, no shimmering artifacts, and no micro light flashes across the image.
Natural light changes darken gradually and evenly across the entire scene.
House lights turn on slowly with a soft, stable glow — no blinking, no strobing, no pulsing.
Use a locked, stabilized camera with a slow cinematic dolly-in from a wide aerial view to a closer view.
The camera movement must be steady, fluid, and vibration-free.
Preserve the exact structure, layout, and position of all buildings, trees, roads, and surroundings.
Do not add or remove any objects, people, vehicles, or lights.
Visual quality must be clean, smooth, high-bit-depth, with uniform gradients and stable exposure throughout the transition.
Overall style: cinematic, realistic, calm, premium real-estate film look.
2. Create a cinematic transformation video from the input image, showing an empty bedroom gradually becoming fully furnished.
Bedroom furniture and decor appear one by one in a logical sequence:
first the rug, then the bed and bedding, followed by nightstands, lamps, armchair, dresser, curtains, plants, and wall art.
Each object materializes smoothly with soft fade-in and gentle morphing, as if naturally placed into the room.
No sliding into frame, no popping, no sudden scale changes.
The transition is continuous, fluid, and uninterrupted, with consistent lighting and realistic shadows.
No flicker, no pixel noise, no shimmering dots, no jitter.
Camera remains completely fixed and stable — no zoom, no pan, no shake.
Walls, windows, ceiling, floor, and room structure stay unchanged throughout the video.
Style: realistic, elegant, cinematic interior reveal, high-end real estate presentation.
3. Create a cinematic transformation video from the input image, showing an empty living room gradually becoming fully furnished.
Living room furniture and decor — including the sofa, coffee table, TV and TV stand, rug, side tables, lamps, plants, wall art, and accessories — appear smoothly and progressively, as if gently placed into the room.
All objects should fade in and materialize naturally, with soft morphing transitions.
No sudden popping, no sliding into frame, no jumping objects, no flickering, no pixel noise.
The fireplace burn gradually, with a soft, smoothly, warm glow spreading naturally inside the firebox.
No flashing, no abrupt ignition.
Lighting remains stable and realistic throughout the transformation, with warm indoor ambient light enhanced by the fireplace glow.
Use a locked, fixed camera angle — no camera movement, no shake, no zoom.
Walls, windows, doors, ceiling, and floor remain completely static and unchanged.
Style: realistic, cinematic, smooth, high-end real estate interior reveal.</t>
  </si>
  <si>
    <t>TLJAN05003</t>
  </si>
  <si>
    <t>https://www.dropbox.com/scl/fi/4dqrb84mqf8b3nfqz8ziw/1925-north-ct-rd.png?rlkey=24bt5vd41tncb7pcpiiq60b03&amp;dl=0</t>
  </si>
  <si>
    <t>add AI living room furniture and a tv above fireplace. Add fire to fireplace and remove bookshelf’s. Be sure to not cover doorway</t>
  </si>
  <si>
    <t>https://www.dropbox.com/scl/fo/rocv5qfq1efnv8fcpjy22/ADtE5nMFTiVLF7wrazBTfNY?rlkey=v4hdowyolemt218ba1k40s2zi&amp;st=i27if4no&amp;dl=0</t>
  </si>
  <si>
    <t>ko viết prompt, dùng prompt cũ</t>
  </si>
  <si>
    <t>Create a cinematic transformation video from the input image, showing an empty living room gradually becoming fully furnished.
Living room furniture and decor — including the sofa, TV (above the fireplace) , lamps, sides table, and other decorative items — appear smoothly and progressively, as if gently placed into the room.
All objects should fade in and materialize naturally, with soft morphing transitions.
No sudden popping, no sliding into frame, no jumping objects, no flickering, no pixel noise.
The fireplace ignites gradually, with a soft, realistic flame building up smoothly, warm glow spreading naturally inside the firebox.
No flashing, no abrupt ignition.
Lighting remains stable and realistic throughout the transformation, with warm indoor ambient light enhanced by the fireplace glow.
Use a locked, fixed camera angle — no camera movement, no shake, no zoom.
Style: realistic, cinematic, smooth, high-end real estate interior reveal.</t>
  </si>
  <si>
    <t>HTJAN06006</t>
  </si>
  <si>
    <t>https://www.dropbox.com/scl/fo/c3gwwkkxvzp4504xwydxl/AF1CZIVWAz9kkwkNsxMlO8Q?rlkey=ns0gmziuzxbp6rt9o49a01se4&amp;st=uzrz2f0e&amp;dl=0</t>
  </si>
  <si>
    <t>AI phòng bếp và phòng khách Có gia đình, bạn bè đang sinh hoạt tự nhiên, nói chuyện, đứng quanh bếp, ngồi sofa, AI phòng ăn Có gia đình ngồi quanh bàn ăn sang trọng, bàn ăn luxury, không khí sum họp, AI phòng ngủ được staging bằng AI ánh sáng thấp, hơi tối, cảm giác moody / luxury / calm (tất cả chuyển từ ảnh 1 sang ảnh 2 )</t>
  </si>
  <si>
    <t>https://www.dropbox.com/scl/fo/4mho2g7rwntafp4m7rk1j/AGPSKG2S-BUpz00wPF9eUeo?rlkey=ore8e41p3xawkgo4r0geg81b7&amp;st=xdkzylnl&amp;dl=0</t>
  </si>
  <si>
    <t xml:space="preserve">https://gemini.google.com/share/14ebdef06c5d
tạo cho tôi hình ảnh  Có gia đình, bạn bè đang sinh hoạt tự nhiên, nói chuyện, đứng quanh bàn bếp nhưng không bị che mất người ở đối diện, không khí tự nhiên vui vẻ, 2-3 người đang chuẩn bị món ăn và những người khác đứng xung quanh bếp, chỉ thêm người, các chi tiết còn lại được giữ nguyên, góc cam cố định
</t>
  </si>
  <si>
    <t>TLJAN05003rev2</t>
  </si>
  <si>
    <t>https://www.dropbox.com/scl/fo/dmajddjoqo6x185e49xv5/AJc7oYA-HWXVB6a3GqGCxec?rlkey=qhbryjrnkw819181x5cgu4vyy&amp;dl=0</t>
  </si>
  <si>
    <t xml:space="preserve">1 là lại phần phòng khách cho đồ đạc hiện ra cùng 1 lúc
2 Add AI the dining room and for clip 1679 </t>
  </si>
  <si>
    <t>https://www.dropbox.com/scl/fo/275wlh5yhezwvb5lrxcqd/AOGom1i2olCD9G7v-e-gcPY?rlkey=q0tap2u29uhqvs62bi4ri5rnu&amp;st=x0uk2fl7&amp;dl=0</t>
  </si>
  <si>
    <t>envato: hoang.dangtc@gmail.com</t>
  </si>
  <si>
    <t>phòng ăn:  https://gemini.google.com/share/2c40dd8983ed
phòng khách: https://gemini.google.com/share/9de99ea2405c</t>
  </si>
  <si>
    <t>Phòng ăn:
viết prompt tạo video từ ảnh bằng envato,  chuyển cảnh từ (ảnh 1) căn phòng bếp trống - căn phòng bếp xuất hiện đồ nội thất (ảnh 2), tất cả đồ nội thất được xuất hiện cùng lúc không rời rạc, các đồ nội thất khi xuất hiện không có sự thay đổi, bàn vẫn là bàn, ghế vẫn là ghế, tuyệt đối không để xuất hiện từ ghế thành bàn, góc quay từ xa đến gần, chuyển tiếp mượt mà, phong cách cinematic.
Phòng khách: 
viết prompt tạo video từ ảnh bằng envato,  chuyển cảnh từ (ảnh 1) căn phòng khách trống - căn phòng khách xuất hiện đồ nội thất (ảnh 2), tất cả các đồ nội thất được xuất hiện cùng lúc không rời rạc, các đồ nội thất khi xuất hiện không có sự thay đổi, tivi vẫn là tivi, ghế vẫn là ghế, tuyệt đối không để xuất hiện từ ghế thành tivi, khi xuất hiện hết đồ nội thất lửa ở trong lò sưởi được bật lên, một ngọn lửa nhẹ nhàng, góc quay cố định, chuyển tiếp mượt mà, phong cách cinematic.</t>
  </si>
  <si>
    <t>Phòng khách: Create a cinematic video from the provided images. The video begins with Image 1, showing an empty living room with its original structure, layout, camera angle, and lighting preserved. The camera remains completely fixed throughout the video, with no zooming, panning, tilting, or changes in perspective.
The scene then transitions smoothly to Image 2. All the furniture in the living room appears simultaneously, as a unified reveal, not one piece at a time. The appearance of the furniture should be clear, stable, and continuous, without any juddering, flickering, or interruptions in time.
Each object must retain its exact shape and identity during the transition:
The television remains the television.
The sofa remains the sofa.
Tables, decorations, plants, and wall hangings remain unchanged.
Transformation, swapping, or conversion of objects is not permitted (for example, a chair should never be transformed into a television or any other object).
Once all furniture is fully displayed and stable, the fireplace is gently lit. The flame is soft, with subtle flame movement, warm light, and true reflections on nearby surfaces. The fireplace lights are only switched on after the furniture reveal is complete.
The entire transition is smooth, continuous, and error-free, with no flickering, no pixelation, no flashing, and no unwanted changes in color, shadows, or room proportions. The overall visual style is cinematic, warm, elegant, and authentic, emphasizing natural transformation and high quality.
Phòng ăn: 
Create a cinematic video from the provided images. The video begins with Image 1, showing an empty kitchen. The structure, proportions, materials, lighting, and original layout of the room remain completely unchanged.
The camera starts from a wider angle and slowly moves toward the kitchen with a smooth, steady dolly-in motion, without sudden zooming or changes in angle.
As the transition begins, the footage smoothly transitions to Image 2. All the kitchen appliances and equipment appear simultaneously as a unified revelation, not one at a time. The appearance is seamless, clear, and stable, without any juddering, flickering, or time interruptions.
Each object must retain its original shape and characteristics throughout the transition:
A table remains a table.
A chair remains a chair.
Equipment remains equipment.
No transformation, swapping, or conversion of objects is permitted (e.g., a chair must never be transformed into a table or any other object).
The transition must be seamless and smooth, with consistent lighting, shadows, and textures. There must be no flickering lights, no pixel flickering, no image artifacts, and no unintended color or geometric shifts.
The overall image must be cinematic, authentic, and polished, emphasizing the natural, high-quality transformation from an empty kitchen to a fully equipped one, while maintaining smooth camera movement.</t>
  </si>
  <si>
    <t>D2N</t>
  </si>
  <si>
    <t>CAJAN06009rev</t>
  </si>
  <si>
    <t>https://www.dropbox.com/scl/fo/g7q4p664oxwwtjvutct7i/AF7hanhojfWLcYM9X7lAI1A?rlkey=rcfpyxhp1zxr7s1vmtuwv1fmc&amp;dl=0</t>
  </si>
  <si>
    <t>2 AI effect
Note:
- xuất 4k
- Làm 1 AI effect day to night cho phòng khách (giữ nguyên khung hình không di chuyển)
- Làm 1 AI effect day to night cho Drone (chuyển động từ ảnh gần đến xa)
- Không có sample</t>
  </si>
  <si>
    <t>https://www.dropbox.com/scl/fo/n6qnlcfq87szxk4adimym/APLhJwnGjF6o_eyzZ0eVaoQ?rlkey=m16625nh6zatoxz6aysg0efwf&amp;st=qv4071kp&amp;dl=0</t>
  </si>
  <si>
    <t>tạo cho tôi hình ảnh phòng khách vào buổi tối, phòng khách buổi tối sẽ có thêm đèn, không thay đổi các các chi tiết khác của ảnh, góc cam và kích thước ảnh phải giữ nguyên, không thay đổi bố cục ảnh, không cắt bớt không gian ảnh, giữ nguyên kích thước 9:16 gốc
tạo hình ảnh buổi đêm cho ảnh, trên bầu trời có sao, nhà có đèn điện, các chi tiết khác trong ảnh phải được giữ nguyên, kích thước và góc cam cũng phải được giữ nguyên.tuyệt đối ko thay đổi kích thước 9:16 của ảnh gốc</t>
  </si>
  <si>
    <t>viết prompt tạo video từ ảnh, tôi dùng envato tạo video chuyển cảnh từ ngày ảnh 1 (ảnh cận ban ngày) sang đêm (ảnh xa ban đêm), chuyển cảnh nhẹ nhàng, không rung lắc, chớp nháy màn hình, không thêm bất kỳ chi tiết nào khác, góc cam cố định từ gần đến xa, thời lượng giữa cảnh ngày và đêm gần bằng nhau 
viết prompt tạo video từ ảnh, tôi dùng envato tạo video chuyển cảnh phòng khách từ ngày sang đêm, giữ nguyên khung hình, chuyển cảnh nhẹ nhàng, không rung lắc, chớp nháy màn hình, không thêm bất kỳ chi tiết nào khác, góc cam cố định</t>
  </si>
  <si>
    <t>Create a smooth and realistic video transition from the provided images.
The video begins with a close-up daytime scene (Image 1) and gradually transitions to a distant nighttime scene (Image 2).
The camera slowly moves from a close-up to a farther perspective, maintaining the same composition and framing.
Lighting naturally changes from bright daytime to nighttime, with shadows and ambient light adjusting realistically.
The transition is calm and continuous, with approximately equal duration for the daytime and nighttime scenes.
No objects, furniture, or other details are added, removed, or altered; only the camera distance and lighting change.
Camera remains completely fixed and stable relative to the framing; no shake, no jitter, no tilt, no zoom except the smooth transition from near to far.
No flickering, no flashing, no screen blinking.
Maintain all original colors, textures, and materials in both images.
High-quality, cinematic smoothness with seamless blending between the two scenes.
phòng khách:Create a smooth and realistic day-to-night transition video from the provided living room image.
The scene gradually changes from daytime to nighttime lighting in a natural and seamless way.
Sunlight slowly fades, indoor lighting gently becomes visible, and shadows shift softly to reflect nighttime conditions.
Keep the original framing, camera angle, and composition exactly the same as the source image.
The camera remains completely fixed and stable throughout the video.
No camera movement, no zoom, no pan, no tilt.
The transition is slow, calm, and continuous, with no sudden changes.
Do not add, remove, or modify any objects, furniture, or decorative elements.
Maintain the original colors, materials, and textures of the living room; only lighting and ambience change naturally.
No flickering, no flashing, no screen blinking, no jitter, no visual artifacts.
High-quality, realistic lighting transition with stable frames and cinematic smoothness.</t>
  </si>
  <si>
    <t>LIJAN06012Rev</t>
  </si>
  <si>
    <t>https://www.dropbox.com/scl/fo/j5ayfyf27juk1jwkxuuxv/ADa3Ih7RMHdux5JQoskr8a0?rlkey=ze57avcwqpbme29w86k5m9hcr&amp;dl=0</t>
  </si>
  <si>
    <t>day to night từ trái qua phải ( AI hqua đẹp r nhưng khách muốn xóa text chúc mừng năm mới , i hệt đc k hqua càng tốt nhưng k có text + pháo hoa)</t>
  </si>
  <si>
    <t>https://www.dropbox.com/scl/fi/n9aluaf7416x76owreu1b/LIJAN06012Rev.mp4?rlkey=sx7q5e6t3437ubusuqzvxnk1v&amp;st=2btoc2m9&amp;dl=0</t>
  </si>
  <si>
    <t>https://gemini.google.com/share/e05c4bcf3848</t>
  </si>
  <si>
    <t>viết prompt tạo ảnh từ video bằng envato, hiệu ứng timelapse landscape, chuyển cảnh từ ngày (ảnh 1) sang đêm (ảnh 2), góc quay từ trái sang phải, chuyển động liền mạch, mượt mà, chân thực, không rung lắc, không nháy đèn, phong cách cinematic</t>
  </si>
  <si>
    <t>Create a cinematic landscape timelapse video using the provided images. Start from daytime (Image 1) and smoothly transition into nighttime (Image 2). The scene features a modern waterfront building beside a river, captured from an elevated viewpoint. Apply a continuous left-to-right camera movement with a slow, steady pan, maintaining identical composition and perspective throughout the transition. The sky gradually shifts from bright blue daylight to deep night tones, city lights and interior building lights slowly turn on naturally, reflections on the water become more vivid and dynamic. Vehicles create subtle light trails, emphasizing the passage of time. The transition must be seamless, fluid, and realistic, with no camera shake, no flickering lights, no sudden exposure changes. Maintain a cinematic color grade, high dynamic range, realistic lighting evolution, and smooth motion, preserving all architectural details and environment exactly as in the original images.</t>
  </si>
  <si>
    <t>HTJAN07004</t>
  </si>
  <si>
    <t>https://www.dropbox.com/scl/fo/kfq5qclm1n494hz9i9q5i/AAY5ipTnj2g9mutmCGC0MSg?rlkey=gacokqskthsfmdt4elv4fdn74&amp;dl=0</t>
  </si>
  <si>
    <t>Thêm hiệu ứng chuyển cảnh từ ngày sang đêm cho ngoại thất ngôi nhà từ trái qua phải</t>
  </si>
  <si>
    <t>https://www.dropbox.com/scl/fi/h7dn5yvb3xfor41yo57qn/HTJAN07004.mp4?rlkey=vqjdkenvjlwr5ivhe00nwf6q5&amp;st=g38z77p5&amp;dl=0</t>
  </si>
  <si>
    <t>hãy tạo cảnh chụp buổi tối của hình ảnh này</t>
  </si>
  <si>
    <t>Create a cinematic landscape timelapse video using the provided images. Start from daytime (Image 1) and smoothly transition into nighttime (Image 2). Apply a continuous left-to-right camera movement with a slow, steady pan, maintaining identical composition and perspective throughout the transition. The sky gradually shifts from bright blue daylight to deep night tones with moon and stars arrives. Sky light changes with cloud movement. City lights and interior building lights slowly turn on naturally. The transition must be seamless, fluid, and realistic, with no camera shake, no flickering lights, no sudden exposure changes. Maintain a cinematic color grade, high dynamic range, realistic lighting evolution, and smooth motion, preserving all architectural details and environment exactly as in the original images.</t>
  </si>
  <si>
    <t>NHJAN06012</t>
  </si>
  <si>
    <t>https://www.dropbox.com/scl/fo/p2noq7wzl9mlcqsovizqp/AEz8LG9lZedeGDxcetygEl0?rlkey=mf32bvnxzg4z0aflsjjl4i7hy&amp;dl=0</t>
  </si>
  <si>
    <t>làm timelapse ngày sang đêm, mây chạy vù vù</t>
  </si>
  <si>
    <t>https://www.dropbox.com/scl/fi/0evmkdhd3klnl3012twg2/NHJAN06012.mp4?rlkey=xu12fa343y6llf1ftoc2nquc6&amp;st=9gs00krf&amp;dl=0</t>
  </si>
  <si>
    <t>tạo hình ảnh buổi đêm cho ảnh, trên bầu trời có sao, nhà có đèn điện, các chi tiết khác trong ảnh phải được giữ nguyên, kích thước và góc cam cũng phải được giữ nguyên.tuyệt đối ko thay đổi kích thước 9:16 của ảnh gốc</t>
  </si>
  <si>
    <t>viết prompt tạo video từ ảnh, tôi dùng envato tạo video chuyển cảnh từ ngày ảnh 1 ( ban ngày) sang đêm (ban đêm), đèn từ từ bật lên, không bật đèn đột ngột,  chuyển cảnh nhẹ nhàng, không rung lắc, chớp nháy màn hình, không thêm bất kỳ chi tiết nào khác, góc cam cố định từ gần đến xa, mây chuyển động vù vù ngày sang đêm, thời lượng giữa cảnh ngày và đêm gần bằng nhau</t>
  </si>
  <si>
    <t>Create a smooth and realistic video transition from the provided images.
The video starts with a daytime scene (Image 1) and gradually transitions to a nighttime scene (Image 2).
The camera slowly moves from a close-up to a farther perspective, keeping the original framing and composition exactly.
Lighting transitions naturally from day to night.
Indoor and outdoor lights turn on gradually and softly, with no sudden flashes or abrupt changes.
Clouds move quickly across the sky (“fast, visible movement”) during the transition, reflecting the change from day to night.
The transition is smooth and continuous, with approximately equal duration for the daytime and nighttime scenes.
No objects, furniture, or other details are added, removed, or altered; only lighting, cloud motion, and camera distance change.
Camera remains fully fixed relative to the framing; no shake, no jitter, no tilt, no zoom except the smooth near-to-far movement.
No flickering, no flashing, no screen blinking.
Maintain all original colors, textures, and materials in both images.
High-quality, cinematic smoothness with seamless blending between the two scenes.</t>
  </si>
  <si>
    <t>VUJAN07001</t>
  </si>
  <si>
    <t>https://www.dropbox.com/scl/fo/iavoii6bf135mg543h9t7/ADaJgg5KoSCYPf_z6sBz13A?rlkey=q0c2oy5u49oybgntgqu9znf1o&amp;dl=0</t>
  </si>
  <si>
    <t>using the ""push to fire pit"" clip, can you do an AI making a day to evening transition, virtual stage that area with chairs around a fire pit with fire?</t>
  </si>
  <si>
    <t>https://www.dropbox.com/scl/fi/u8uj91cmbjkjcg044f0lr/VUJAN07001.mp4?rlkey=fczenpqexvrfzzc9k43311tnh&amp;st=43lbmlc0&amp;dl=0</t>
  </si>
  <si>
    <t>https://gemini.google.com/share/de712a4e0829</t>
  </si>
  <si>
    <t>viết prompt tạo video từ ảnh bằng higgfield, tạo video chuyển cảnh day to night từ ngày sang đêm, bắt đầu với cảnh ngày tại 1 sân sau trống, góc quay từ xa đến gần ổn định, ánh sáng thay đổi dần từ ngày sang đêm với những chuyển động của mây, khi trời tối mặt trăng xuất hiện, trong khi trời chuyển động dần tối hơn và cam zoom gần hơn thì ghế và hố lửa cùng 1 số đồ đạc sân sau lần lượt xuất hiện. Chuyển cảnh mượt mà, liên tục, không nháy sáng, không mờ hình, chân thực, phong cách cinematic</t>
  </si>
  <si>
    <t>Create a smooth cinematic day-to-night transition from a single static image.
Start with a quiet, empty backyard in full daylight, no people present. The camera begins at a distant wide shot and slowly, steadily zooms closer, maintaining a stable, fixed trajectory with no shake.
The lighting gradually changes from daytime to dusk and then night, with soft, natural cloud movement drifting slowly across the sky. As daylight fades, shadows lengthen and ambient light gently decreases in a continuous, realistic manner.
As night approaches, the moon slowly appears in the sky, subtle and natural, casting soft moonlight across the scene.
While the camera continues its slow forward zoom, backyard elements gradually appear one by one in a believable way:
– outdoor chairs
– a fire pit
– additional backyard furniture and decor
These objects emerge progressively as the environment becomes darker, synchronized with the lighting transition, without sudden pop-ins.
The entire transition must be smooth, continuous, and realistic, with no flickering light, no exposure jumps, no motion blur, and no image softness.
Cinematic style, natural color grading, realistic shadows and highlights, calm atmosphere, high realism.</t>
  </si>
  <si>
    <t>VUJAN07003</t>
  </si>
  <si>
    <t>https://www.dropbox.com/scl/fo/mjrmd4hepkjxpa5xxob8a/ANim_Q9LZlFnuTY5EPKg6xo?rlkey=ww2de7kojjxyvc2skr5h07dkn&amp;dl=0</t>
  </si>
  <si>
    <t>Day to night từ gần về xa</t>
  </si>
  <si>
    <t>https://www.dropbox.com/scl/fi/v363aa1ghq3eoz4p70riv/VUJAN07003.mp4?rlkey=mwgkhx9bzvozlrkioq3ymxpld&amp;st=fjgadoj3&amp;dl=0</t>
  </si>
  <si>
    <t>https://gemini.google.com/share/d51d3d374c91</t>
  </si>
  <si>
    <t>viết prompt tạo video từ ảnh bằng higgsfield, tôi dùng hiệu ứng timelap, tạo video chuyển cảnh từ ban ngày sang ban đêm, bầu trời thay đổi dần từ ban ngày sang đêm, có chuyển động mây và mặt trời, góc quay từ gần ra xa. Chuyển cảnh mượt mà, liên tục, không nháy sáng, không mờ hình, chân thực, phong cách cinematic</t>
  </si>
  <si>
    <t>Create a cinematic timelapse video from the input image using the timelapse effect.
Begin with clear daytime lighting, natural and realistic. The camera performs a slow, stable dolly-out movement (from near to far), maintaining a fixed composition and perspective.
As time passes, the sky transitions smoothly from daytime to dusk and then full night. The sun gradually moves across the sky, lowering naturally toward the horizon, while clouds drift continuously with realistic speed and direction.
The lighting changes progressively: brightness decreases, shadows lengthen, colors cool naturally, and night tones settle in without abrupt shifts.
Ensure the transition is continuous and seamless with:
– no flickering
– no sudden light flashes
– no motion blur
– no ghosting or distortion
All details remain sharp and stable throughout the timelapse.
Maintain a photorealistic cinematic style, with smooth color grading, realistic sky dynamics, natural exposure adaptation, atmospheric depth, and calm visual rhythm.
Do not add or remove any objects or people. Preserve the original scene structure exactly as in the input image. Only the time of day, sky, sun position, and cloud movement are animated.</t>
  </si>
  <si>
    <t>VUJAN07004</t>
  </si>
  <si>
    <t>https://www.dropbox.com/scl/fo/6hn4r15u6l4v2cyjct29x/ABHIBKca8VW94dUFgfpINzc?rlkey=xrfj686pgzt7fw87trz99cf2w&amp;dl=0</t>
  </si>
  <si>
    <t>2 effect day to night, 1 cái em đã điền sẵn xa gần, 1 cái chuyển day to night</t>
  </si>
  <si>
    <t>https://www.dropbox.com/scl/fo/wcwwkbexoix5y961s6nhv/AG26CPct_TSzO9Y4L_gXDko?rlkey=e3e2xl75k5bo306qwpq279tmj&amp;st=37cjl81g&amp;dl=0</t>
  </si>
  <si>
    <t>Create a cinematic day-to-night transition video from the input image.
Begin with a bright, natural daytime scene. The camera stays completely fixed, with no shake, no zoom, and no perspective change.
The sky gradually darkens over time, transitioning smoothly from daylight to dusk and then to night.
Natural cloud movement is visible throughout the transition, moving slowly and continuously to enhance realism.
Lighting changes progressively and evenly, with no sudden brightness shifts, no flickering, no flashing, and no frame jumps.
Shadows soften and deepen naturally as daylight fades, preserving realistic contrast and exposure.
All buildings, objects, and environment remain perfectly stable and unchanged, with no warping, distortion, or object morphing.
The original image composition is fully preserved from start to finish.
The final result should feel calm, realistic, seamless, and cinematic, with a smooth continuous flow, natural time progression, and high visual coherence.</t>
  </si>
  <si>
    <t>HTJAN07002Rev</t>
  </si>
  <si>
    <t>https://www.dropbox.com/scl/fo/0utcdu58fmrkhksri3ydo/AIbgzBm7wsrg59BdvqT_xAY?rlkey=x5c4mduafn9yeghh1inxt5j1r&amp;st=4j0yt86k&amp;dl=0</t>
  </si>
  <si>
    <t>(Xuất 4k tất cả file giúp em)
1. Thêm đồ nội thất, gia đình phòng khách giống s5 - link sample (Vui lòng tạo một khoảnh khắc gia đình nhỏ hơn, ít người hơn)
2. Thêm đồ nội thất, gia đình phòng khách giống Ai 1, khác chỉ khác góc quay
3. Thêm đồ nội thất, gia đình phòng bếp giống s28 - link sample (Vui lòng tạo một khoảnh khắc gia đình nhỏ hơn, ít người hơn, người trong gia đình giống phòng khách)
4. Vui lòng đặt nhóm bạn bè vào những chiếc ghế đẹp xung quanh hố lửa  giống s54 - link sample 
5. Thực hiện một chuyển cảnh từ ngày sang đêm 
Sample: https://www.dropbox.com/scl/fo/6qc0i7twozzdf75gwp1dq/AJ4UfBR8aEwNGBxHa3XAvlQ?rlkey=hl7baieg5uxh3b0bbiezhja98&amp;dl=0</t>
  </si>
  <si>
    <t>https://www.dropbox.com/scl/fo/6dg8oyfu35vvp41ug7b05/AOqQpKAgDAAePZLWQQIpBxA?rlkey=6puafpmsaswqjicw0pcvuh2qq&amp;st=z44ehgg8&amp;dl=0</t>
  </si>
  <si>
    <t>tạo hình ảnh đồ nội thất trong phòng bếp và một gia đình 4 người đang nấu ăn trong phòng bếp, tuyệt đối không được thay đổi kích thước 9:16 của ảnh</t>
  </si>
  <si>
    <t xml:space="preserve">viết prompt tạo video từ ảnh, tôi dùng envato, tạo video một nhóm bạn đang ngồi nói chuyện vui vẻ trên những chiếc ghế quanh hố lửa, chuyển động người nhẹ nhàng, không lỗi mặt,. không thêm/bớt các chi tiết thừa, góc cam cố định
viết prompt tạo video từ ảnh, tôi dùng envato, tạo video 1 gia đình đang nói chuyện vui vẻ trong phòng khách, chuyển động người nhẹ nhàng, không lỗi mặt,. không thêm/bớt các chi tiết thừa, góc cam cố định
viết prompt tạo video từ ảnh, tôi dùng envato tạo video chuyển cảnh từ ngày ảnh 1 ( ban ngày) sang đêm (ban đêm), đèn từ từ bật lên, không bật đèn đột ngột,  chuyển cảnh nhẹ nhàng, không rung lắc, chớp nháy màn hình, không thêm bất kỳ chi tiết nào khác, góc cam cố định , mây chuyển động nhẹ nhàng ngày sang đêm, thời lượng giữa cảnh ngày và đêm gần bằng nhau 
viết prompt tạo video từ ảnh, tôi dùng envato, tạo video một gia đình đang chơi vui vẻ ở phòng khách, chuyển động người nhẹ nhàng, không lỗi mặt,. không thêm/bớt các chi tiết thừa, góc cam cố định không chuyển động, máy quay cố định, không di chuyển lại gần, chỉ có sự chuyển động của người ở một góc quay cố định
viết prompt tạo video từ ảnh, tôi dùng envato, tạo video một gia đình đang nấu ăn vui vẻ ở trong phòng bếp, chuyển động người nhẹ nhàng, không lỗi mặt,. không thêm/bớt các chi tiết thừa, góc cam cố định một chỗ, không di chuyển máy quay,chỉ có chuyển động người </t>
  </si>
  <si>
    <t>bạn bè ngồi quanh hố lửa: Create a realistic and smooth image-to-video animation of a group of friends sitting together on chairs around a fire pit, happily talking and interacting with each other.
All people remain seated in their original positions, with subtle and natural movements such as gentle head turns, small hand gestures, smiling, and relaxed conversation.
The camera remains completely fixed, with no pan, no zoom, and no shake.
Facial features must stay stable and natural, with no facial distortion, warping, or glitches.
The motion should be gentle, continuous, and seamless throughout the video.
Do not add, remove, or alter any people, objects, furniture, fire pit, or background elements.
Keep the original composition, layout, and environment fully preserved.
Maintain consistent lighting, colors, shadows, and atmosphere exactly as in the original image.
No flickering, flashing, or sudden transitions.
The overall mood should be warm, relaxed, and natural.
phòng khách: Create a realistic and smooth image-to-video animation of a family sitting together and talking happily in a living room.
All family members remain in their original positions, with subtle and natural movements such as gentle head turns, light hand gestures, smiling, and soft conversational interactions.
The camera remains completely fixed, with no pan, no zoom, and no shake.
Facial features must stay stable and natural, with no facial distortion, warping, or glitches.
Motion should be gentle, continuous, and seamless throughout the video.
Do not add, remove, or modify any people, objects, furniture, or background elements.
Keep the original composition, layout, and environment fully preserved.
Maintain consistent lighting, colors, shadows, and atmosphere exactly as in the original image.
No flickering, flashing, or sudden transitions.
The overall mood should be warm, natural, and realistic.
ngáy sang đêm: Create a smooth image-to-video transition from a daytime scene (Image 1) to a nighttime scene (Image 2).
The camera remains fixed, with no movement or shake.
Lighting gradually changes from day to night, with lights in the scene slowly turning on—do not switch lights on abruptly.
Clouds move gently across the sky during the transition.
Maintain smooth, seamless motion with no flickering, flashing, or sudden changes.
The duration of the daytime portion and nighttime portion should be approximately equal.
Do not add, remove, or alter any objects, people, or background elements.
Preserve the original composition, environment, and atmosphere exactly as in the images.
The overall feeling should be calm, natural, and visually coherent.
phòng khách Create a realistic and smooth image-to-video animation of a family having fun together in a living room.
All family members remain in their original positions, with only gentle and natural human movements such as small hand gestures, light body movement, subtle head turns, smiling, and relaxed interaction.
The camera is completely fixed and static at a single angle throughout the entire video — no pan, no tilt, no zoom, no push-in, and no camera movement of any kind.
There must be absolutely no camera motion; only human movement is allowed.
Facial features must remain stable, natural, and accurate, with no facial distortion, warping, or glitches.
Movement should be soft, smooth, and continuous, not exaggerated or fast.
Do not add, remove, or change any people, objects, furniture, or background elements.
Keep the original composition, framing, and environment exactly the same as the source image.
Maintain consistent lighting, colors, shadows, and atmosphere.
No flickering, flashing, or sudden transitions.
The overall mood should be warm, joyful, natural, and realistic.
phòng bếp: Create a realistic and smooth image-to-video animation of a family cooking together happily in a kitchen.
All family members stay in their original positions, with only subtle and natural human movements such as gentle hand motions while cooking, light body movement, small head turns, smiling, and relaxed interaction.
The camera remains completely fixed in one position and at a single angle throughout the entire video — no pan, no tilt, no zoom, and no camera movement of any kind.
There must be absolutely no camera motion; only natural human movement is allowed.
Facial features must remain stable, natural, and accurate, with no facial distortion, warping, or glitches.
Movements should be soft, smooth, continuous, and not exaggerated.
Do not add, remove, or modify any people, kitchen objects, furniture, utensils, or background elements.
Keep the original composition, framing, and environment exactly as in the source image.
Maintain consistent lighting, colors, shadows, and atmosphere.
No flickering, flashing, or sudden transitions.
The overall mood should feel warm, joyful, natural, and realistic.</t>
  </si>
  <si>
    <t>HUJAN08002</t>
  </si>
  <si>
    <t>https://www.dropbox.com/scl/fo/8drv7zftnb4f19seilajr/AJtClf1nLulnOJNGw2D1JWE?rlkey=kg59ieamztw6ht9w50x3im8rk&amp;dl=0</t>
  </si>
  <si>
    <t>day to night từ gần ra xa có chuyển động , render 4k</t>
  </si>
  <si>
    <t>https://www.dropbox.com/scl/fi/6oeyqx73iy9xr3tf7vyio/HUJAN08002.mp4?rlkey=ln6ycptzfc73sxhtokhf9x2vt&amp;st=3urw88kh&amp;dl=0</t>
  </si>
  <si>
    <t>Create a cinematic day-to-night transition video using the provided image as the base frame.
Camera movement:
The camera starts closer to the scene and slowly zooms out, moving smoothly from near to far. The movement is stable, steady, and continuous, with no shaking or sudden speed changes.
Lighting transition:
The scene begins in bright daytime lighting with natural sunlight.
Gradually, the light softly fades into late afternoon, then sunset, and finally nighttime.
Sky and clouds:
The sky transitions naturally from daylight blue to darker evening tones, then to deep night blue.
Clouds move slowly and realistically across the sky, consistent with natural wind direction, maintaining smooth motion throughout the transition.
Night elements:
As night arrives, ambient light gently decreases, shadows deepen naturally, and subtle night atmosphere appears.
If applicable, soft moonlight or faint sky glow appears naturally without sudden changes.
Environment consistency:
All buildings, objects, terrain, and background elements remain unchanged in shape and position.
Only lighting, sky color, and cloud movement evolve over time.
Visual quality:
Seamless and continuous transition, no flickering, no flashing lights, no blur, no distortion.
Cinematic realism, natural exposure, high detail.</t>
  </si>
  <si>
    <t>MHJAN08006</t>
  </si>
  <si>
    <t>https://www.dropbox.com/scl/fo/a3ia3n9ys6924qpil2ild/AOnd3FmXk-gu7JCoGVFsCHY?rlkey=0t5ueyi0lcn887u3a3jhoxvx7&amp;st=utw2sglu&amp;dl=0</t>
  </si>
  <si>
    <t>Add AI Twilight transition Timelapse</t>
  </si>
  <si>
    <t>https://www.dropbox.com/scl/fi/9vhr7gjtgdsoigj4zd43n/MHJAN08006.mp4?rlkey=rus8iztdrnjnykktpm0evftkj&amp;st=n24fyvfy&amp;dl=0</t>
  </si>
  <si>
    <t>hãy tạo cảnh chụp lúc chạng vạng (twilight) của hình ảnh này</t>
  </si>
  <si>
    <t>QUJAN09001</t>
  </si>
  <si>
    <t>https://www.dropbox.com/scl/fo/0u7xoidpc9xqduwcp69vr/AGQYBkwYcfkvGhlIiE85Y-E?rlkey=e39njygfi7acvz2nscet90ar0&amp;dl=0</t>
  </si>
  <si>
    <t>Từ day sang twilight ạ, với góc máy camera di chuyển lên trên bầu trời ở ảnh 2 ạ ( phía chân trời là ánh mặt trời lặn còn bầu trời có trời nhiều sao ạ )</t>
  </si>
  <si>
    <t>https://www.dropbox.com/scl/fi/zih2oizrikqp4md14wjt8/QUJAN09001.mp4?rlkey=br4v2soy05iqqw7utp9zzqmmw&amp;st=copcdy4t&amp;dl=0</t>
  </si>
  <si>
    <t>HTJAN09012</t>
  </si>
  <si>
    <t>https://www.dropbox.com/scl/fo/9p8vmbitw3ims73b2wpt1/ANziS_Bzm-4unXSxEUplNEs?rlkey=qmg9zh673rwd9rglyp8r8fr1y&amp;dl=0</t>
  </si>
  <si>
    <t>- Làm AI timelapse từ NGÀY sang CHIỀU TỐI (ko phải tối hẳn)
Note của khách:
"showing an ai representation of the sunset" 
- xuất 4k</t>
  </si>
  <si>
    <t>https://www.dropbox.com/scl/fi/eyc59hl7zep05hvegdg9q/HTJAN09012.mp4?rlkey=srce66epci5rrk202gb1nco8i&amp;st=gp0npuq5&amp;dl=0</t>
  </si>
  <si>
    <t>hãy tạo cảnh chụp buổi chiều tối của hình ảnh này</t>
  </si>
  <si>
    <t>HUJAN09001</t>
  </si>
  <si>
    <t>https://www.dropbox.com/scl/fo/ilz89pj4s9l5npgrum01k/AD80VC3GqPDYoBr11WAQtZs?rlkey=9esuc7ges93f1ith68wxu43xg&amp;dl=0</t>
  </si>
  <si>
    <t>1 day to night từ gần ra xa có chuyển động ( render 4k )</t>
  </si>
  <si>
    <t>https://www.dropbox.com/scl/fi/az9ii5m7frty6q3gcllf3/HUJAN09001.mp4?rlkey=zk27mowgxfehuowe750uijx31&amp;st=bkalc92w&amp;dl=0</t>
  </si>
  <si>
    <t>Trang trí noel</t>
  </si>
  <si>
    <t>HTDEC20001</t>
  </si>
  <si>
    <t>https://www.dropbox.com/scl/fo/kvtbs4srlu3e4tcfjj5xf/AIComTAxMlqWCQRsVo0brQg?rlkey=hrg2jtghu2c82x68aapf59sz2&amp;dl=0</t>
  </si>
  <si>
    <t xml:space="preserve"> with some AI effects like this one : 
https://www.instagram.com/reel/DSF-NXVk86a/
AI noen chuyển động như ở đầu video 
xuất 4k
chọn 1 trong 2 ảnh cái nào đẹp thì lấy.</t>
  </si>
  <si>
    <t>https://www.dropbox.com/scl/fi/bttjj9f0wavf89jmazpib/HTDEC20001.mp4?rlkey=boyroj6qlpczdqgu0aas0tpsf&amp;st=a4uttvg2&amp;dl=0</t>
  </si>
  <si>
    <t>tạo ảnh mùa đông tuyết và trang trí noel, thêm ông già noel cưỡi tuần lộc trên nóc nhà -&gt; ren video</t>
  </si>
  <si>
    <t>Create a cinematic video from the image. The two decorative reindeer figures on the ground remain completely still. The reindeer pulling Santa Claus on the sleigh begin to move, galloping with powerful airborne strides and lifting the sleigh off the rooftop. They rise higher and higher into the sky, then fly forward and exit the frame completely. As they leave the scene, the final shot reveals only the peaceful winter sky and the warmly lit Christmas house below. Use a smooth dolly-in camera movement that glides forward and subtly tilts upward to follow Santa’s ascent before settling into the final empty sky view. Maintain a magical Christmas atmosphere with soft snowfall and warm festive lighting</t>
  </si>
  <si>
    <t>MKTDEC17001</t>
  </si>
  <si>
    <t>https://www.dropbox.com/scl/fo/vxwf1877e2bssri1c4omi/AA-pohxGgl18hfZ2EFGm-Gs?rlkey=2drzretouur3w2zifqeh1ble2&amp;dl=0</t>
  </si>
  <si>
    <t>từ cảnh này chạy zoom in vào biến ngồi nhà thành phong cách như này(https://www.pinterest.com/pin/319122323617817540) có chút tuyết bay, rồi tiếp tục từ frame cuối của phần ai vừa tạo ra tạo thêm 1 ai nữa zoom cận vào bông tuyết như này(https://www.instagram.com/reels/DRpIrpZEQqC/_ cho bông tuyết qoay vòng nhé nếu có thể</t>
  </si>
  <si>
    <t>https://www.dropbox.com/scl/fo/mdi8l0s0wbxcxtewjf4yv/AM4pNsqhK_OgJEgy80yI_4c?rlkey=pm0gj72mgtwtwi6j6pu6ep79b&amp;st=uwyx85gg&amp;dl=0</t>
  </si>
  <si>
    <t>https://gemini.google.com/share/6a5574ff936e</t>
  </si>
  <si>
    <t>viết prompt tạo video chuyển cảnh từ ảnh ngôi nhà mùa đông tuyết trong không khí giáng sinh. camera đột nhiên zoom cận vào 1 trong những bông tuyết đang rơi, bông tuyết ấy xoay vòng và rơi dần một cách tự nhiên</t>
  </si>
  <si>
    <t>A cozy winter house covered in snow during Christmas, warm yellow lights glowing from the windows, festive decorations, Christmas atmosphere, gentle snowfall filling the scene.
The camera is initially static, framing the entire snowy house. Suddenly, the camera performs a smooth cinematic zoom-in toward a single snowflake falling in the foreground.
The selected snowflake becomes the clear focus: it rotates slowly and naturally in mid-air, with delicate crystalline details visible. The snowflake continues to drift downward gently, spinning softly as it falls, realistic gravity and air resistance, shallow depth of field, background gradually blurred.
Ultra-smooth transition, no flicker, no shaking, realistic motion, cinematic lighting, soft winter glow, magical Christmas mood.</t>
  </si>
  <si>
    <t>TRDEC21001</t>
  </si>
  <si>
    <t>https://www.dropbox.com/scl/fo/kn9ufrngtqeov48dytk0m/ANfX8_EGaQ6a7bKzgkezI50?rlkey=cnak85v7lafnw23oo31do79ep&amp;dl=0</t>
  </si>
  <si>
    <t>1 AI christmas trang trí phía ngoài ngôi nhà như AI đầu vid này, ko cần giống hệt chỉ cần đẹp là đc: https://www.instagram.com/reel/DSF-NXVk86a/?utm_source=ig_web_copy_link&amp;igsh=MzRlODBiNWFlZA==  
XUẤT 4K</t>
  </si>
  <si>
    <t>https://www.dropbox.com/scl/fi/2x4quoqhm3jiaa3wdi5wj/TRDEC21001.mp4?rlkey=xkld5ar0d1wgmeuf56b33byqa&amp;st=0digbt5w&amp;dl=0</t>
  </si>
  <si>
    <t>https://gemini.google.com/share/d3c004030103</t>
  </si>
  <si>
    <t>HTDEC22006</t>
  </si>
  <si>
    <t>https://www.dropbox.com/scl/fo/ndb38l8wejr2o44vm72oy/AJE4KfRyk_eXaOaS0PgIVRg?rlkey=qictthcybdh836og12174l13n&amp;dl=0</t>
  </si>
  <si>
    <t>AI INSTRUCTIONS
• Convert existing clips into Christmas-themed visuals using AI:
◦ Light snowfall
◦ Warm Christmas lighting
◦ Subtle glow
◦ Christmas décor accents (trees, lights, wreaths, etc.)
• AI should feel natural and realistic, not cartoonish
• Do NOT distort the homes or architecture
 sample:https://www.instagram.com/p/DSF-NXVk86a/?hl=en</t>
  </si>
  <si>
    <t>https://www.dropbox.com/scl/fo/ic84rpeq1hz4m260wvvgh/ABxKyJ5DAt2uHV5LWSYHw04?rlkey=uwp82v1pn5j7m1hcbn05j1fv6&amp;st=arf3nll1&amp;dl=0</t>
  </si>
  <si>
    <t>1. https://gemini.google.com/share/c443608df52b
2. https://gemini.google.com/share/ba3e15d218f5
3. https://gemini.google.com/share/17a9d1c04ba3
4. https://gemini.google.com/share/4fd1e2bc193c
5. https://gemini.google.com/share/602ee06a7ecc</t>
  </si>
  <si>
    <t>1.  viết prompt tạo video từ ảnh bằng higgsfield.ai, hiệu ứng general, tạo video từ hình ảnh nội thất căn phòng dần được trang trí bằng các đồ  trang trí giáng sinh. Góc quay cố định
2.  viết prompt tạo video từ ảnh bằng higgsfield.ai, hiệu ứng general, tạo video từ hình ảnh 1 nội thất căn phòng bếp chưa được trang trí dần chuyển sang hình ảnh 2 căn phòng bếp đã được trang hoàng bằng   các đồ  trang trí giáng sinh. Góc quay cố định
3.  viết prompt tạo video từ ảnh bằng higgsfield.ai, hiệu ứng general, tạo video từ hình ảnh 1 nội thất căn phòng chưa được trang trí dần chuyển sang hình ảnh 2 căn phòng đã được trang hoàng bằng   các đồ  trang trí giáng sinh. Góc quay cố định
4.  viết prompt tạo video từ ảnh bằng higgsfield.ai, hiệu ứng general, tạo video từ hình ảnh 1 ngôi nhà chưa được trang trí dần chuyển sang hình ảnh 2 ngôi nhà đã được trang hoàng bằng các đồ  trang trí giáng sinh, có hiệu ứng tuyết rơi. Góc quay cố định
5.  viết prompt tạo video từ ảnh bằng higgsfield.ai, hiệu ứng general, tạo video từ hình ảnh 1 ngôi nhà chưa được trang trí dần chuyển sang hình ảnh 2 ngôi nhà đã được trang hoàng bằng các đồ  trang trí giáng sinh, trong đó có hai con tuần lộc và một ông già noel được xuất hiện và đứng yên ở trên mặt đất còn ở trên mái nhà có một ông già noel cưỡi hai con tuần lộc đang bay lên bầu trời theo phương nằm ngang, có hiệu ứng tuyết rơi. Góc quay cố định</t>
  </si>
  <si>
    <t>1. General cinematic Christmas decoration reveal.
Using the provided image, create a smooth and realistic scene with a completely static, locked-off camera. Start with the interior room exactly as shown, without any Christmas decorations.
Gradually, Christmas decorative elements appear gently and neatly throughout the room. Decorations such as wreaths, garlands, subtle ornaments, and soft festive lights materialize in an organized and elegant manner, one by one or in small groups. The appearance feels calm, clean, and controlled, with no sudden motion or clutter.
The room structure, furniture, walls, floors, and lighting remain unchanged. Only the Christmas decorations are added to enhance the atmosphere and make the room feel more lively and festive.
Cinematic realism, smooth object appearance, warm holiday mood, no camera movement, no shake.
2. General cinematic Christmas kitchen transformation.
Using the provided images, create a smooth and realistic transition with a completely static, locked-off camera. Start with the first image showing a kitchen interior without any Christmas decorations.
Gradually transform the scene into the second image by adding Christmas decorations throughout the kitchen. Festive elements such as garlands, wreaths, ornaments, and subtle holiday lights appear naturally and neatly in their proper places, creating a warm and joyful Christmas atmosphere.
The kitchen layout, furniture, appliances, walls, floors, and lighting remain unchanged at all times. Only the Christmas decorations are added to complete the festive look. Cinematic realism, smooth object appearance, warm holiday mood, no camera movement, no shake.
3. General cinematic Christmas interior transformation.
Using the provided images, create a smooth and realistic transition with a completely static, locked-off camera. Start with the first image showing an interior room with no Christmas decorations.
Gradually transform the room into the second image by adding Christmas decorations throughout the space. Festive elements such as wreaths, garlands, ornaments, and subtle holiday lights appear naturally and neatly in their proper positions, creating a warm and joyful Christmas atmosphere.
The room structure, furniture, walls, floors, and layout remain unchanged at all times. Only the Christmas decorations are added. Cinematic realism, smooth object appearance, warm holiday mood, no camera movement, no shake.
4. General cinematic Christmas house transformation with snowfall.
Using the provided images, create a smooth and realistic transition with a completely static, locked-off camera. Start with the first image showing a house with no Christmas decorations.
Gradually transform the house into the second image as Christmas decorations are added naturally and neatly in their correct positions. Festive elements such as wreaths, garlands, ornaments, Christmas lights, and a Christmas tree appear gently, enhancing the house with a warm holiday atmosphere.
At the same time, soft and light snowfall begins and continues throughout the transition, falling gently from the sky without obscuring the house.
The house structure, surroundings, ground, and layout remain unchanged at all times. Only the Christmas decorations and snowfall are introduced. Cinematic realism, smooth decoration reveal, gentle snow motion, warm festive lighting, no camera movement, no shake.
5. General cinematic Christmas house transformation with character staging.
Using the provided images, create a smooth and realistic transformation with a completely static, locked-off camera. Start with the first image showing a house with no Christmas decorations.
Gradually transform the scene into the second image as Christmas decorations appear neatly and naturally in their correct positions. Festive elements such as wreaths, garlands, ornaments, Christmas lights, and a Christmas tree decorate the house, creating a warm holiday atmosphere.
Soft snowfall begins and continues gently throughout the scene, falling evenly without blocking visibility.
On the ground in front of the house, two reindeer and one Santa Claus appear and remain completely still, standing calmly as decorative figures. They do not move or animate.
On the rooftop, another Santa Claus riding two reindeer appears and flies horizontally across the sky, moving smoothly from one side to the other in a straight, level path. The flight is calm and cinematic, with no vertical movement or sudden acceleration.
The house structure, ground, surroundings, and camera position remain unchanged. Cinematic realism, controlled motion, clear separation between static ground characters and flying rooftop Santa, gentle snow effect, no camera movement, no shake.</t>
  </si>
  <si>
    <t>NHDEC22007</t>
  </si>
  <si>
    <t>https://www.dropbox.com/t/jiEvk6edz3RJ0fea</t>
  </si>
  <si>
    <t xml:space="preserve">1. Pháo hoa - https://www.instagram.com/reels/DPCXAV_E-cV/  
2. Bếp -  https://drive.google.com/file/d/1CWiO7YRxhx8mp-8Z5BPNfDWPkLAYWdJM/view?usp=sharing
3. Decor giáng sinh - https://drive.google.com/file/d/1IoARHLxc9j6y-pDs5-akJirR3mraSFUk/view?usp=sharing </t>
  </si>
  <si>
    <t>https://www.dropbox.com/scl/fo/wcxl6jsbhdnr5znr4u24w/ACTLQrwBihA75t-nwZY8eYc?rlkey=el1ajunw88h1s7thhscllp3et&amp;st=b02m07tk&amp;dl=0</t>
  </si>
  <si>
    <t xml:space="preserve">1. hãy tạo cảnh chụp buổi tối của hình ảnh này
2. https://gemini.google.com/share/482d294e0a31 
3. https://gemini.google.com/share/9551a2beeb33 </t>
  </si>
  <si>
    <t>1. viết prompt tạo video từ ảnh bằng higgsfield.aim hiệu ứng pháo hoa bắn lên sau nhà, góc quay lùi dần về phía sau. Pháo hoa vàng–cam rực rỡ bắn lên từ phía sau mái nhà, tỏa thành những tia dài cong nhẹ trên bầu trời đêm. Tia lửa lấp lánh như mưa sao rơi, kết hợp cùng làn khói ấm màu cam–vàng tạo chiều sâu và cảm giác hoành tráng. Pháo hoa nổ theo từng đợt có chủ ý, mang vibe celebration / grand opening / cinematic finale, làm ngôi nhà trở thành tâm điểm được tôn vinh. Sao cho pháo hoa đúng vị trí sau nhà, không thay đổi hay che khuất ngôi nhà, bố cục nhà và các chi tiết khác y nguyên như ảnh ban đầu
2. viết prompt tạo video từ ảnh bằng higgsfield.ai, góc quay dolly zoom in ổn định, ông già noel và tuần lộc cười nói, cụng ly ăn mừng ngày lễ giáng sinh, tôi muốn zoom cận mặt ông già noel và tuần lộc 
3. ko có câu lệnh, dùng prompt cũ</t>
  </si>
  <si>
    <t>1. Create a cinematic nighttime video from the input image.
Preserve the original image structure exactly.
The house, roof, walls, windows, proportions, perspective, and all architectural details must remain completely unchanged, sharp, and unobstructed throughout the entire video.
Do not modify, deform, duplicate, remove, or cover any part of the house.
Fireworks appear strictly behind the house and behind the rooftop, in the background sky only.
No fireworks, sparks, smoke, or light effects may appear in front of the house or overlap its silhouette.
From behind the rooftop, vibrant golden–orange fireworks launch upward into the night sky, expanding into long, slightly curved streaks of light.
Dense sparkling embers scatter in the background like falling stardust, while warm orange–gold smoke rises and spreads behind the house, adding depth without touching the building.
Fireworks explode in intentional, well-paced waves, creating a cinematic celebration / grand opening / finale atmosphere.
The camera slowly dollies backward (zooming out), maintaining the exact original framing and composition of the house, only revealing more background sky.
Lighting changes affect the sky only.
The house lighting, texture, color, and exposure remain stable with no flicker or brightness shifts.
Motion is smooth, cinematic, and stable. No visual glitches.
2.1. Create a video from the input image.
The camera performs a slow, smooth, and stable dolly zoom in, gradually moving into a closer, more intimate close-up of the subjects.
Santa Claus and the reindeer are standing upright like humans, with human-like posture and gestures, while maintaining their reindeer appearance.
They smile warmly and make eye contact, expressing joy and holiday cheer.
The toast happens slowly and deliberately: they gently raise their glasses and clink them together in a calm, celebratory motion, emphasizing the moment.
Movements are subtle, natural, and realistic, with no exaggerated animation.
Facial expressions are friendly and festive, conveying a cozy Christmas celebration.
Soft, warm Christmas lighting enhances the intimate, close-up feeling.
Maintain the original composition, environment, and all background details exactly as in the input image.
Do not add new objects, do not change the scene, and do not distort any elements.
Cinematic, heartwarming, festive Christmas celebration atmosphere.
2.2. Create a video from the input image.
The camera performs a very slow, smooth, and stable dolly zoom in, moving forward to frame a close-up of Santa Claus’s face and the reindeer’s face.
The final framing focuses clearly on their facial expressions, keeping both faces fully visible and well-proportioned.
The reindeer stands upright like a human, with natural human-like posture and subtle facial expressions, while maintaining realistic reindeer features.
Santa Claus and the reindeer smile warmly and make friendly eye contact, expressing joy and holiday cheer.
They slowly raise their glasses and gently clink them together, with the toast happening calmly and deliberately.
Movements are minimal, smooth, and realistic, with no exaggerated gestures.
Warm indoor Christmas lighting softly illuminates their faces, enhancing skin texture, fur detail, and emotional warmth.
Maintain the original room layout, decorations, furniture, and background exactly as in the input image.
Do not add new objects, do not alter the scene, and do not distort faces or proportions.
Cinematic, intimate, heartwarming Christmas celebration atmosphere.
No face distortion.
No facial deformation.
Stable facial proportions.
No camera shake or jitter.
3. Create a cinematic video from the image. Santa Claus riding his sleigh pulled by reindeer begins to lift off from the rooftop and gracefully flies up into the sky. The reindeer glow with warm Christmas lights as they ascend. Snow sparkles softly in the air. The camera performs a smooth dolly-in movement, gliding forward toward the house while subtly tilting upward to follow Santa taking off. The motion should be fluid, magical, and highly cinematic, with soft winter atmosphere, warm Christmas lighting, and realistic depth</t>
  </si>
  <si>
    <t>HADEC18010Rev</t>
  </si>
  <si>
    <t>https://www.dropbox.com/scl/fo/05ijswbt2a970ivgq436q/AFf5RKhd3NGybZNIActZf8M?rlkey=dq2b4iutt32jgyykugxfi5a2v&amp;st=p6x4fvpk&amp;dl=0</t>
  </si>
  <si>
    <t>chỉnh các phòng và bên ngoài theo chủ đề giáng sinh</t>
  </si>
  <si>
    <t>https://www.dropbox.com/scl/fo/vm5ob3q6n2e4g4ujcndjh/ACNeZHyq0w0R7GsnZwNnYX8?rlkey=pfc8rmyx0uvsakm0ntay316ww&amp;st=wd44l9gc&amp;dl=0</t>
  </si>
  <si>
    <t>https://gemini.google.com/share/725eda0068b9</t>
  </si>
  <si>
    <t>/</t>
  </si>
  <si>
    <t>TRDEC25001</t>
  </si>
  <si>
    <t>https://www.dropbox.com/scl/fo/8vlapdlifixm0ogouwmhj/ADT9cyTv9PW4cOex_CnR58w?rlkey=0nkpb4x9isjwo9sydj1nhdztx&amp;st=jhqlwupu&amp;dl=0</t>
  </si>
  <si>
    <t>Tạo gíup em 3 AI effect Christmas,, bao gồm ngoài nhà, phòng bếp, phòng khách
khách không đưa sample nhưng làm đẹp giúp em với ạ
ren 4k ạ</t>
  </si>
  <si>
    <t>https://www.dropbox.com/scl/fo/3sd84zdx2mnnwi79ad7ix/ANXYiL3djCkSdF7HsCZZgok?rlkey=7aq0zdxqsov8f1j83ksif150i&amp;st=inn7qer6&amp;dl=0</t>
  </si>
  <si>
    <t>https://gemini.google.com/share/3b4a2c68a11e</t>
  </si>
  <si>
    <t>1. viết prompt tạo video từ ảnh bằng envato, tạo các chuyển động thể hiện hoạt động chân thật trong đêm giáng sinh tại căn bếp ấm cúng. Người nữ và người nam đang chuẩn bị đồ ăn cho đêm giáng sinh. Sử dụng góc quay FPV drone lướt nhẹ về phía 2 người sau đó vòng lại để lộ cảnh hai người đang chuẩn bị bàn tiệc giáng sinh
2. viết prompt tạo video từ ảnh bằng envato, tạo các chuyển động thể hiện hoạt động chân thật trong đêm giáng sinh tại phòng khách ấm cúng. Cậu bé đang treo tất lên lò sưởi còn cô bé vừa cầm đồ trang trí vừa đi lai như thể tìm kiếm món đồ gì đó. Không khí vui vẻ, ấm áp toàn khung hình. Sử dụng góc quay FPV drone lướt nhẹ về phía 2 người sau đó vòng lại để lộ cảnh hai người đang trang trí phòng khách giáng sinh
3. viết prompt tạo video từ ảnh bằng envato, tạo các chuyển động thể hiện hoạt động chân thật trong đêm giáng sinh tại mặt trước của ngôi nhà. Xe ông già noel được kéo bay lên trời và biến mất khỏi khung hình bằng 4 con tuần lộc khỏe mạnh. Không khí giáng sinh ấm cúng, thêm hiệu ứng âm thanh tiếng chuông jingle bells. Góc quay dolly in lướt nhẹ về phía xe ông già noel</t>
  </si>
  <si>
    <t xml:space="preserve">1. A cozy Christmas night kitchen scene based strictly on the input image.
The environment remains unchanged: the same kitchen layout, furniture, lighting, decorations, food, and Christmas elements exactly as in the original image.
A woman and a man are preparing Christmas food together at the kitchen island.
Natural, subtle human movements:
– The woman gently arranges food on plates, slightly turning her body, small hand movements, relaxed and focused expression.
– The man carefully prepares dishes, light hand gestures, slow and realistic motion, warm interaction.
– No new people, no additional food, no object changes.
Camera movement (FPV drone style):
– A smooth FPV drone glide starting from behind and slightly above the kitchen entrance.
– The camera slowly flies forward toward the two people at the island.
– After approaching them, the camera gently curves and circles around from one side, revealing the full Christmas dinner setup on the island and countertops.
– Motion is slow, cinematic, steady, and realistic.
Lighting &amp; atmosphere:
– Warm indoor lighting, soft shadows, glowing Christmas lights.
– Calm, intimate Christmas Eve atmosphere.
– No flickering, no sudden lighting changes.
Style:
Cinematic, realistic motion, shallow depth of field, high-quality video, smooth transitions, no camera shake.
2. A warm and cozy Christmas living room scene at night, strictly based on the input image.
The environment, furniture, decorations, Christmas tree, fireplace, stockings, lighting, and layout remain exactly the same as in the original image. No changes to the room.
Two children are decorating the living room for Christmas:
– The boy is standing near the fireplace, gently hanging and adjusting a Christmas stocking on the mantel. His movements are slow, natural, and realistic, with small arm and body motions.
– The girl is holding a Christmas decoration and slowly walking around the room, looking around as if searching for the perfect place to hang or place it. Subtle head turns, light steps, natural child-like motion.
Camera movement (FPV drone style):
– A smooth FPV drone glide starting from the back of the living room, slightly elevated.
– The camera slowly moves forward toward the two children near the fireplace.
– After reaching them, the camera gently curves and circles around, revealing both children together and the full Christmas-decorated living room.
– The motion is slow, cinematic, steady, and immersive, with no sudden movements.
Atmosphere &amp; lighting:
– Warm indoor lighting, soft shadows, glowing Christmas lights.
– Cozy, joyful, and festive Christmas night atmosphere filling the entire frame.
– Calm, intimate family holiday feeling.
Style:
Cinematic realism, smooth motion, high-quality video, shallow depth of field, soft focus transitions, no camera shake.
3. </t>
  </si>
  <si>
    <t>4 mùa</t>
  </si>
  <si>
    <t>CHDEC31002</t>
  </si>
  <si>
    <t>https://www.dropbox.com/scl/fo/tebos1teagx94m2bs9oa6/AMwcSeMa9oJvGS4Qv_VB-dM?rlkey=z15u3l4sv4rjw8ez3xkad64cc&amp;dl=0</t>
  </si>
  <si>
    <t>làm AI 4 mùa (chuyển từ ảnh 1 đến ảnh 4) sample https://www.dropbox.com/scl/fi/i8wjjif3813lxgruckw0y/AI-agent-HE.mp4?rlkey=eexayxck4q4tif3upyzi99e8c&amp;e=1&amp;st=22wgtr87&amp;dl=0</t>
  </si>
  <si>
    <t>https://www.dropbox.com/scl/fo/s4hd4xzbsacn7ogjcutpw/AJugvuM4c50ZoaLKDDmTOms?rlkey=5z5y12lwt8ocseo4ffbkxnb7k&amp;st=nt11mxw7&amp;dl=0</t>
  </si>
  <si>
    <t>THDEC31004</t>
  </si>
  <si>
    <t>https://www.dropbox.com/scl/fo/6vws8nzmgrli2og7viiks/AEX1kDI_yZsjWKHoxNdJxEY?rlkey=i929abfqzgczxr3wi23kawxl0&amp;dl=0</t>
  </si>
  <si>
    <t>winter to summer transformation (chuyển cảnh mùa đông sang mùa hè)</t>
  </si>
  <si>
    <t>https://www.dropbox.com/scl/fi/ytzhi76vf656dhmwxdsys/THDEC31004.mp4?rlkey=t7dsd4alcaapindoiu6y13td9&amp;st=1wb5dau3&amp;dl=0</t>
  </si>
  <si>
    <t>https://gemini.google.com/share/6813ecbc1c78</t>
  </si>
  <si>
    <t>viết prompt tạo video từ ảnh, tôi dùng envato, tạo video chuyển cảnh từ ảnh 1 (mùa đông lạnh giá) sang ảnh 2 (mùa hè cây cối xanh tươi ngập tràn ánh nắng) liền mạch, không bị flicker, cinematic, cloud time-lapse hyperlapse, chuyển động camera giữ cố định</t>
  </si>
  <si>
    <t>Create a seamless cinematic transition video from Image 1 to Image 2.
Image 1 shows a cold winter atmosphere: bare trees, muted colors, cold air, winter lighting.
Image 2 shows a vibrant summer atmosphere: lush green trees, full foliage, warm sunlight, bright and lively colors.
The transition represents the change of seasons from winter to summer in a smooth, natural, and continuous way.
Snow gradually fades away, ice melts subtly, tree branches slowly grow leaves, colors shift naturally from cold tones to warm tones.
Clouds move dynamically across the sky in a cloud time-lapse hyperlapse style, enhancing the seasonal transformation.
Lighting transitions smoothly from soft cold winter light to bright golden summer sunlight.
Camera remains completely fixed and stable throughout the entire video.
No camera shake, no zoom, no pan.
Cinematic color grading, ultra-smooth motion, no flickering, no jitter, no artifacts.
Preserve the original composition and perspective of the image.
No extra objects added, no changes to the main scene structure.
Realistic physics, natural environmental transformation, high realism, high detail, smooth frame continuity.</t>
  </si>
  <si>
    <t>MKTDEC31004</t>
  </si>
  <si>
    <t>https://www.dropbox.com/scl/fo/h8aogbnozm8mq7e50ix90/AF8yAhSHtEjPzySbxku1HSg?rlkey=h8av4mdttir8ei6vjg5syavvp&amp;dl=0</t>
  </si>
  <si>
    <t>chuyển từ bắt đầu  - mùa thu - chiếc lá - mùa xuân - mùa đông - kết thúc. các chuyển động đều theo timeplase để thể hiện chuyển giao mùa nhé sample đây nha ' https://www.instagram.com/reels/DRpIrpZEQqC/ ' . tks!</t>
  </si>
  <si>
    <t>https://www.dropbox.com/scl/fo/fw9bgf7pvbw76p1le5vo3/AExvyezKeCKtXCEJOvUMjJA?rlkey=a6tfb68tbp8a9uihq5rciiy2h&amp;st=eu4ds8hm&amp;dl=0</t>
  </si>
  <si>
    <t>Order này có sẵn ảnh</t>
  </si>
  <si>
    <t>-) bắt đầu đến mùa thu:
viết prompt tạo video từ ảnh bằng envato, chuyển cảnh từ bầu trời xanh (ảnh 1) đến mùa thu (ảnh 2). Góc quay từ xa đến gần lướt nhẹ về phía ngôi nhà, timelapse hyperlapse cloud. Chuyển cảnh 1 cách mượt mà, liền mạch, với phong cách cinematic.
+) từ mùa thu đến chiếc lá:
viết prompt tạo video từ ảnh bằng envato, chuyển cảnh từ mùa thu (ảnh 1) đến chiếc lá (ảnh 2). Góc quay từ xa đến gần lướt nhẹ về phía ngôi nhà, khi đang quay cận ngôi nhà với bầu trời mùa thu cùng với quá trình lá rơi, rồi máy quay chợt quay cận một chiếc lá đang rơi xuống, khi quay cận chiếc lá khung cảnh phía sau mờ đi giống như đang làm nền cho chiếc lá, timelapse hyperlapse cloud. Chuyển cảnh 1 cách mượt mà, liền mạch, với phong cách cinematic.
+) từ chiếc lá đến mùa xuân:
viết prompt tạo video từ ảnh bằng envato, chuyển cảnh từ hình ảnh chiếc lá (ảnh 1) đến mùa xuân (ảnh 2). Góc quay từ xa đến gần lướt nhẹ về phái bên phải ngôi nhà, thể hiện rõ được chuyển đổi cảnh từ mùa thu đến mùa xuân, timelapse hyperlapse cloud. Chuyển cảnh 1 cách mượt mà, liền mạch, với phong cách cinematic.
+) từ mùa xuân đến mùa đông:
viết prompt tạo video từ ảnh bằng envato, chuyển cảnh từ hình ảnh mùa xuân (ảnh 1) đến mùa đông (ảnh 2). Góc quay từ trái sang phải rồi đi lên cao FPV drone ngôi nhà, thể hiện rõ được chuyển đổi cảnh từ mùa xuân đến mùa đông, timelapse hyperlapse cloud, không được thay đổi bố cục ngôi nhà. Chuyển cảnh 1 cách mượt mà, liền mạch, với phong cách cinematic.
+) từ mùa đông đến kết thúc:
bằng tiênviết prompt tạo video từ ảnh bằng envato, chuyển cảnh từ hình ảnh mùa đông (ảnh 1) đến bầu trời xanh (ảnh 2), thể hiện rõ được chuyển đổi cảnh từ đông đến bầu trời không có tuyết , timelapse hyperlapse cloud. Góc quay từ trên cao từ phía bên phải ngôi nhà dần đi xuống rồi lùi ra xa, thể hiện rõ được chuyển đổi cảnh từ đông đến bầu trời không có tuyết. Chuyển cảnh 1 cách mượt mà, liền mạch, với phong cách cinematic.</t>
  </si>
  <si>
    <t xml:space="preserve">-) bắt đầu đến mùa thu:
Create a cinematic timelapse–hyperlapse video transitioning smoothly from a clear blue sky scene (image 1) into an autumn atmosphere (image 2).
The camera starts from a distant wide view and gently glides forward toward the house, maintaining a stable, smooth forward motion without shaking.
During the transition, the sky gradually shifts from bright blue to softer autumn tones, clouds subtly drift in timelapse style, and the surrounding environment slowly transforms into fall colors with warm golden and orange leaves.
The transition must be seamless and continuous, with no sudden cuts or flickering.
Keep the original composition of the house and environment intact. Do not add extra objects, people, or vehicles.
Cinematic lighting, natural color grading, soft depth of field, calm atmosphere, smooth motion blur, and realistic cloud movement.
High realism, cinematic seasonal transformation, smooth hyperlapse clouds, stable camera movement.
màu thu đến chiếc lá:
Create a cinematic timelapse hyperlapse video from two input images.
The scene begins with Image 1 – an autumn house landscape.
The camera starts from a far distance and smoothly glides forward toward the house, maintaining a stable, cinematic FPV-style movement. The sky carries warm autumn tones, clouds subtly drifting in a timelapse hyperlapse motion.
As the camera gets closer to the house, autumn leaves gently fall from trees, drifting naturally through the air. The falling leaves enhance the seasonal atmosphere while the house remains the visual anchor of the frame.
Midway through the shot, the camera smoothly transitions its focus toward a single falling leaf.
The camera performs a natural cinematic push-in, following the leaf as it descends.
When the leaf fills the frame, the background gradually blurs into a soft depth-of-field bokeh, turning the autumn house and sky into a gentle, out-of-focus backdrop that serves as a visual background for the leaf.
The scene seamlessly transitions into Image 2 – a close-up of the autumn leaf, with no hard cuts, flickering, or abrupt motion.
The transition is fluid, continuous, and visually cohesive, maintaining lighting consistency and color harmony.
Camera movement remains smooth, stable, and elegant, with no shaking or sudden acceleration.
Overall mood: cinematic, poetic, calm, and immersive, emphasizing the beauty of autumn, falling leaves, and a storytelling transition from landscape to detail.
Style: cinematic, timelapse hyperlapse clouds, shallow depth of field, smooth motion, high realism.
+) chiếc lá đến màu xuân:
Create a cinematic timelapse–hyperlapse video from the provided images.
Start with image 1 – a close-up of an autumn leaf, symbolizing late autumn. The scene feels calm and slightly cool, with soft autumn colors and gentle clouds moving in the sky.
The camera begins from a distant position and slowly glides forward while subtly moving to the right side of the house, maintaining a smooth, stable motion with no shaking.
As the camera advances, the environment gradually transforms from autumn into spring:
Autumn colors slowly fade into fresh spring tones
Fallen leaves dissolve into budding branches
Trees begin to sprout green leaves and small blossoms
Light becomes warmer and brighter
Clouds move faster in a timelapse hyperlapse cloud effect, emphasizing the passage of time
Transition seamlessly into image 2 – a clear spring scene, where:
The house is surrounded by lush greenery
Flowers bloom vividly
The atmosphere feels fresh, lively, and full of renewal
The seasonal transition must be smooth, continuous, and visually coherent, clearly showing the change from autumn to spring without abrupt cuts or flickering.
Maintain:
Fixed composition of the house (no distortion or repositioning)
No extra objects or elements added
Stable cinematic motion
Natural lighting evolution
Overall mood: cinematic, poetic, smooth, and uplifting, highlighting the beauty of seasonal transformation through time.
+) mùa xuân đến mùa đông:
Create a cinematic video from the provided images using Envato. The scene transitions smoothly from spring (image 1) to winter (image 2), clearly showing the seasonal change. The camera moves from left to right, then gently ascends upward in an FPV drone motion around the house, maintaining a stable and fluid flight. Throughout the transition, the original composition and structure of the house must remain unchanged, with no distortion or repositioning. Use a timelapse–hyperlapse cloud effect to emphasize the passage of time, allowing clouds, lighting, foliage, and atmosphere to evolve naturally from fresh spring tones into a snowy winter environment. The transition should feel seamless, continuous, and cinematic, with no abrupt cuts or flickering, creating an elegant and immersive seasonal transformation.
+) mùa đông đến kết:
Create a cinematic video from the images provided using Envato. The transition is smooth, from winter (Figure 1) to a clear, snow-free blue sky (Figure 2), clearly showing the seasonal change from a cold winter to a fresh, snow-free atmosphere. The camera starts from a high position on the right side of the house, then gently descends and slowly recedes, maintaining a stable, drone-like FPV movement without shaking. During the transition, use a hyperlapse effect to emphasize the changing sky and weather, while maintaining the composition and structure of the house. The snow gradually melts, the clouds thin out, and the sky becomes a vibrant blue in a seamless, continuous transformation. The overall movement and image flow should be smooth, natural, and emotionally cinematic, without abrupt cuts or visual glitches.
</t>
  </si>
  <si>
    <t>TADEC31004</t>
  </si>
  <si>
    <t>https://www.dropbox.com/scl/fo/65xh5pk32ov01bk541pa1/AEjCDsU4HSwJGgazVHN9ZFY?rlkey=qicc5qz8q5a4ysmvostw7audk&amp;dl=0</t>
  </si>
  <si>
    <t>Ở phần đầu của cảnh ngoại thất, làm một hiệu ứng chuyển cảnh AI thật ngầu từ mùa đông hiện tại sang mùa xuân, để biến không gian sang phong cách mùa xuân, bụi cây nở hoa, lá mọc xanh tươi, cỏ chuyển sang màu xanh, hoa đua nhau nở. Trước nhà có vài cây crepe myrtle, bãi cỏ xanh, bụi cây rậm rạp, v.v. (từ xa đến gần)</t>
  </si>
  <si>
    <t>https://www.dropbox.com/scl/fi/xm3hrq0acgcn1hwkezy79/TADEC31004.mp4?rlkey=psagvqh9gss6tz9gr79ru8qt4&amp;st=ucgzbm5f&amp;dl=0</t>
  </si>
  <si>
    <t>TADEC31004Rev</t>
  </si>
  <si>
    <t>Ở phần đầu của cảnh ngoại thất, làm một hiệu ứng chuyển cảnh AI thật ngầu từ mùa đông hiện tại sang mùa xuân, để biến không gian sang phong cách mùa xuân, bụi cây nở hoa, lá mọc xanh tươi, cỏ chuyển sang màu xanh, hoa đua nhau nở. Trước nhà có vài cây crepe myrtle, bãi cỏ xanh, bụi cây rậm rạp, v.v. 
For the AI transition, we don't get snow here so as stated we were wanting it to go from its current condition into the spring look.. Not the snow into spring</t>
  </si>
  <si>
    <t>https://www.dropbox.com/scl/fi/q49zerl41wsrpec4mnv2q/TADEC31004Rev.mp4?rlkey=aebinq1mqjjtm5g7qaf1ismb1&amp;st=81m9er46&amp;dl=0</t>
  </si>
  <si>
    <t>https://gemini.google.com/share/7093a83f46ac</t>
  </si>
  <si>
    <t>viết prompt tạo video từ ảnh, tôi dùng envato, tạo video chuyển cảnh từ xa đến gần, từ ảnh 1 (mùa đông) sang ảnh 2 (không gian sang phong cách mùa xuân, bụi cây nở hoa, lá mọc xanh tươi, cỏ chuyển sang màu xanh, hoa đua nhau nở. Trước nhà có vài cây crepe myrtle, bãi cỏ xanh, bụi cây rậm rạp), chuyển cảnh liền mạch, không bị flicker, cinematic, cloud time-lapse hyperlapse, camera giữ cố định, chuyển cảnh nhẹ nhàng, không rung lắc</t>
  </si>
  <si>
    <t>Create a smooth, seamless cinematic image-to-video transition from Image 1 (winter season) to Image 2 (elegant spring environment).
The camera remains completely fixed and perfectly stable throughout the entire video, with no shake, no vibration, no zoom movement.
The transition visually progresses from a distant wide view to a closer view, achieved naturally through depth and environmental transformation, not by camera motion.
The scene gradually transforms from winter to spring:
– Cold winter tones fade away gently
– The sky brightens with subtle cloud time-lapse hyperlapse motion
– Grass smoothly changes from winter brown to vibrant green
– Bushes become dense and lush, fresh green leaves grow naturally
– Flowers bloom softly across the landscape
– Several crepe myrtle trees in front of the house begin to leaf out and blossom
– The lawn turns rich green, shrubs appear full and healthy
The transition must be continuous, soft, and perfectly fluid, with no flicker, no jump cuts, no abrupt changes.
Preserve the original composition, framing, and architecture exactly, without adding or removing elements.
Lighting transitions naturally from cool winter light to warm spring sunlight.
Cinematic realism, calm atmosphere, hyper-smooth seasonal transformation.</t>
  </si>
  <si>
    <t>TADEC31004Rev3</t>
  </si>
  <si>
    <t>https://www.dropbox.com/scl/fo/9rbxnf2klmvs0y98p4uoo/ABTokspNCBKYAMXl3-X2rh4?rlkey=vihqf5bicsxwxkq5jxkarq46z&amp;dl=0</t>
  </si>
  <si>
    <t>- is there any way to do the spring AI look in the backyard as well when we do those? I actually really like the way it looks. A view of the backyard looking into the woods so the house doesn’t need to be in it ( iMG_4906 ) "</t>
  </si>
  <si>
    <t>https://www.dropbox.com/scl/fi/3bdzc2b6zz3ehz505zvql/TADEC31004Rev3.mp4?rlkey=c4cl1hdhh5vicbjsbn3shwuka&amp;st=u535zvgd&amp;dl=0</t>
  </si>
  <si>
    <t>https://gemini.google.com/share/0877e1aad7c2</t>
  </si>
  <si>
    <t>viết prompt tạo video từ ảnh bằng envato, hiệu ứng timelapse landscape, chuyển cảnh từ mùa hè (ảnh 1) sang màu xuân (ảnh 2), timelapse hyperlapse cloud, chuyển tiếp mượt mà, liên tục, với phong cách cinematic, giữ nguyên bố cục ảnh gốc. Góc quay từ xa đến gần hướng về bên phải, kéo dài cảnh mùa xuân</t>
  </si>
  <si>
    <t>Create a cinematic landscape timelapse from the image, transitioning smoothly from summer (image 1) to spring (image 2). The scene gradually shifts from warm summer tones to fresh spring colors, with vegetation becoming greener and more vibrant in a natural way. Clouds move continuously across the sky in a fast, realistic hyperlapse. Use a smooth, stable dolly-in camera movement from far to near, gently drifting toward the right side of the frame. Preserve the original composition, scale, and perspective of the image, with no added or removed elements. The transition must be seamless and continuous, and the spring atmosphere should be held and extended at the end, allowing the spring scene to linger before the video finishes, all with a refined cinematic look.</t>
  </si>
  <si>
    <t>VUJAN08011</t>
  </si>
  <si>
    <t>https://www.dropbox.com/scl/fo/uwtdayh77ziu45hy71iz4/AB0_UADH7OMVqMRaq9TPJ9A?rlkey=z9awj1g1x3vnw8ntusu6bnpzs&amp;dl=0</t>
  </si>
  <si>
    <t>AI hiệu ứng 4 mùa cho mảnh đất</t>
  </si>
  <si>
    <t>https://www.dropbox.com/scl/fo/ip609lrz5kb5xo8692ejv/AA0H1psSUxVSK9zzst_O40c?rlkey=yqdig2f4nve7ded4ojbqpes8f&amp;st=c21onj8e&amp;dl=0</t>
  </si>
  <si>
    <t xml:space="preserve">1. xuân: https://gemini.google.com/share/f4b67532bca8 
2. hè: https://gemini.google.com/share/f5901ed19c11 
3. thu: https://gemini.google.com/share/b2addc42bf74 </t>
  </si>
  <si>
    <t>NGAJAN09005</t>
  </si>
  <si>
    <t>https://www.dropbox.com/scl/fo/pugcvfges25qwu9oc72f0/AKOqM7vRtsgsOqycsuxm3xw?rlkey=25obtmzjwqbnisv0esrtx0wl0&amp;dl=0</t>
  </si>
  <si>
    <t>There is a drone shot that is still, I’d like it to be used to make AI seasons transitions (Summer&gt;Fall&gt;Winter&gt;Spring)</t>
  </si>
  <si>
    <t>https://www.dropbox.com/scl/fo/ba6nvafar1br5iu4vhjzh/ADiyEgccEmbXrTh43tL3R8c?rlkey=ei5kvk9ibl20fj6hwgr1i10kh&amp;st=xxtongqc&amp;dl=0</t>
  </si>
  <si>
    <t>https://gemini.google.com/share/8b194af5558f</t>
  </si>
  <si>
    <t>THJAN13049</t>
  </si>
  <si>
    <t>https://www.dropbox.com/scl/fo/dgp8zvoqttkorq7n6b384/AASkxU8pNQ5I9XjrgPHQtWY?rlkey=xni48s1l5pnzuwdgrdqfxngj6&amp;st=naundskl&amp;dl=0</t>
  </si>
  <si>
    <t>1. hiệu ứng chuyển 4 mùa
- từ đầu đến giữa 1: mùa xuân
- giữa 1 đến giữa 2: mùa hè
- giữa 2 đến cuối: mùa thu
- cuối lùi về giữa 2: mùa đông
2. hiệu ứng ngày sang đêm: từ gần đến xa
3. hiệu ứng ngày sang đêm với pháo hoa: từ gần đến xa
xuất 4K</t>
  </si>
  <si>
    <t>https://www.dropbox.com/scl/fo/q3y4dzfr8t7oukb5rmbtt/APO_2lb6akBWESu039vG4fA?rlkey=o6povrzpl91y2yi4zx9eu8mxl&amp;st=du7eby8k&amp;dl=0</t>
  </si>
  <si>
    <t>tạo cho tôi khung cảnh mùa thu của bức ảnh này, các chi tiết khác giữ nguyên, tuyệt đối không được thay đổi kích thước 9:16 của ảnh
tôi muốn khung cảnh ban đêm, ảnh trên trời còn hơn sáng, các chi tiết khác giữ nguyên, tuyệt đối không được thay đổi kích thước 9:16 của ảnh</t>
  </si>
  <si>
    <t xml:space="preserve">viết prompt tạo video từ ảnh, tôi dùng envato tạo video chuyển khung cảnh mùa hè sang mùa thu, mọi chuyển động đồng từ từ và nhẹ nhàng,không rung lắc, không chớp nháy màn hình, không thêm bất kỳ chi tiết nào khác, máy quay giữ nguyên, lá không bay linh tinh mà chỉ đổi màu
viết prompt tạo video từ ảnh, tôi dùng envato tạo video chuyển khung cảnh mùa xuân sang mùa hè, mọi chuyển động đồng từ từ và nhẹ nhàng,không rung lắc, không chớp nháy màn hình, không thêm bất kỳ chi tiết nào khác, máy quay giữ nguyên 
viết prompt tạo video từ ảnh, tôi dùng envato tạo video chuyển khung cảnh sang mùa xuân, mọi chuyển động đồng từ từ và nhẹ nhàng làm sao hiện ra được khung cảnh mùa xuân từ bức ảnh 2, không rung lắc, không chớp nháy màn hình, không thêm bất kỳ chi tiết nào khác, máy quay giữ nguyên 
viết prompt tạo video từ ảnh, tôi dùng envato tạo video chuyển cảnh từ ngày sang đêm, giữ nguyên khung hình, chuyển cảnh nhẹ nhàng, không rung lắc, chớp nháy màn hình, không thêm bất kỳ chi tiết nào khác, góc cam cố định, đèn được bật từ từ, thời gian ngày và đêm gần bằng nhau, chuyển động mượt mà, không rung lắc, , máy quay không di chuyển. Đặc biệt khi xuất hiện khung cảnh buổi tối sẽ có pháo  hoa bắn lên bầu trời, tôi muốn nhiều pháo hoa một chút </t>
  </si>
  <si>
    <t>hè sag thuCreate a smooth cinematic seasonal transition from summer to autumn using the input image(s).
Keep the original camera framing perfectly fixed throughout the video.
The camera is completely static: no movement, no shake, no zoom, no pan, no tilt.
Begin with a warm summer atmosphere.
Gradually transform the scene into an autumn environment.
Foliage slowly changes color from green to yellow, orange, and brown.
Leaves remain in place and do not fall or fly.
Only color transformation occurs.
All changes happen gently, continuously, and realistically.
No flickering.
No flashing frames.
No jittering.
No camera movement.
Do not add any new objects or elements.
Do not remove or distort existing structures.
Overall motion is slow, smooth, stable, and cinematic.
Clean temporal consistency.
No visual artifacts.
xuân hè Create a smooth cinematic seasonal transition from spring to summer using the input image(s).
Keep the original camera framing perfectly fixed throughout the video.
The camera is completely static: no movement, no shake, no zoom, no pan, no tilt.
Begin with a fresh spring atmosphere.
Gradually transform the scene into a summer environment.
Colors slowly shift from soft spring tones to warm summer tones.
Vegetation subtly becomes fuller and richer in a natural way.
All changes happen gently, continuously, and realistically.
No flickering.
No flashing frames.
No jittering.
No camera movement.
Do not add any new objects or elements.
Do not remove or distort existing structures.
Overall motion is slow, smooth, stable, and cinematic.
Clean temporal consistency.
No visual artifacts.
đầu sang xuânCreate a smooth cinematic transition from Image 1 to Image 2, revealing a spring season scene.
Keep the original camera framing perfectly fixed throughout the video.
The camera is completely static: no movement, no shake, no zoom, no pan, no tilt.
Begin with the scene from Image 1.
Gradually and gently transform the environment to match Image 2, revealing a spring atmosphere.
Colors slowly shift to fresh spring tones.
Vegetation and scenery appear softly and naturally, without sudden pops or jumps.
All transformations happen gradually, smoothly, and continuously.
No flickering.
No flashing frames.
No jittering.
No camera movement.
Do not add any new objects beyond what exists in Image 2.
Do not remove or distort existing structures.
Overall motion is slow, subtle, stable, and realistic.
Clean temporal consistency.
No visual artifacts.
pháo hoaCreate a smooth cinematic day-to-night transition video from the input image.
Keep the original camera framing exactly the same throughout the entire video.
The camera is completely static: no movement, no shake, no zoom, no pan, no tilt.
Start with natural daytime lighting.
Gradually transition to evening and then night.
Lights in the scene slowly turn on in a realistic and gentle way.
Clouds move slowly and naturally across the sky from day to night.
The transition is continuous, soft, and realistic.
When the scene fully reaches nighttime, colorful fireworks appear in the sky.
Multiple fireworks launch upward and bloom gently in the sky.
Fireworks are bright but clean, smooth, and realistic.
They do not illuminate or alter objects in the scene unnaturally.
Fireworks stay only in the sky and do not add any new objects elsewhere.
No flickering.
No flashing screen.
No sudden brightness jumps.
No added objects except fireworks in the sky.
No changes to existing structures.
No deformation or distortion.
Day and night durations are approximately equal.
Overall motion is subtle, smooth, stable, and cinematic.
High realism.
Clean temporal consistency.
No visual artifacts.</t>
  </si>
  <si>
    <t>THJAN16030</t>
  </si>
  <si>
    <t>https://www.dropbox.com/scl/fo/4sethb0tiu45lvwzudid6/AChZeIlvgjEvFkIOJWVzuGc?rlkey=rwocrlcpercbjwonpu9v2m8dd&amp;dl=0</t>
  </si>
  <si>
    <t>https://www.dropbox.com/scl/fo/hzkvkfwz6o5wvcetla9cz/AFm72UFGhGFwOiHnU-i-Pz8?rlkey=v4w5uwi4ipzw4oc8lpjj4my8k&amp;st=lsodcscr&amp;dl=0</t>
  </si>
  <si>
    <t>THJAN16030rev</t>
  </si>
  <si>
    <t>https://www.dropbox.com/scl/fo/9dtxlkvt9dhn0ctzhdo45/AGFjp705zbt_VGxQybLojdM?rlkey=d0g42itwcny3y2plgqsmxcea5&amp;dl=0</t>
  </si>
  <si>
    <t>trong linh input</t>
  </si>
  <si>
    <t>https://www.dropbox.com/scl/fo/qtm0asyp931ggpqexoj5u/AB9lg-OZIo2W9GXH5nKH3DE?rlkey=b3wpbfzrw2pf3blbjeqp1qzgj&amp;st=lbmnnxw2&amp;dl=0</t>
  </si>
  <si>
    <t>1. tạo khung cảnh mùa hè cho bức ảnh này
2. tạo khung cảnh mùa hè cho bức ảnh này, làm xuất hiện thêm một bể bơi phía trước container,  sau đó biến thành bữa tiệc mùa hè có người tắm trong bể bơi và container là 1 quầy bar vào mùa hè, các chi tiết khác giữ nguyên, tuyệt đối không thay đổi kích thước 9:16 của ảnh.</t>
  </si>
  <si>
    <t>1. tạo video từ ảnh bằng higgsfield.ai, tôi dùng general (kling 2.5), chuyển cảnh từ mùa đông (ảnh 1) sang mùa hè (ảnh 2), timelapse landscape, hyper-cloud, góc quay cố định, chuyển cảnh mượt mà, liên tục, không nháy đèn, mờ hình, giữ nguyên hình ảnh đầu vào
2. tạo video từ ảnh bằng higgsfield.ai, tôi dùng general (kling 2.5), chuyển cảnh từ ảnh 1 sang ảnh 2, chuyển cảnh timelapse từ mùa đông sang mùa hè (có bể bơi), sau đó biến thành bữa tiệc mùa hè (container trở thành quầy bar, mọi người đi đến và tắm trong bể bơi), góc quay cố định, chuyển cảnh mượt mà, liên tục, không nháy đèn, mờ hình, giữ nguyên hình ảnh đầu vào</t>
  </si>
  <si>
    <t xml:space="preserve">1. Timelapse landscape transformation from winter to summer based on the original image.
The camera is completely static and fixed, no camera movement, no zoom, no rotation.
Smooth seasonal transition: snow on the roof, ground, and trees gradually melts away, revealing green grass, summer foliage, and leafy trees.
Trees slowly change from bare winter branches to full green leaves.
Lighting transitions naturally from cold winter daylight to warm summer daylight.
Hyper-cloud timelapse: clouds move smoothly and continuously across the sky, dynamic but realistic.
Maintain the exact original house structure, proportions, position, and environment.
No object deformation, no geometry changes, no added elements.
Cinematic realism, photorealistic lighting, natural colors.
Seamless, continuous transition with no flickering, no light flashing, no motion blur.
2. </t>
  </si>
  <si>
    <t>THJAN18019</t>
  </si>
  <si>
    <t>https://www.dropbox.com/scl/fo/swj46dl4vlu9dqz08hudm/ABL9iuAnxeCs1JtzwzUhpEI?rlkey=cogout24b8kd577ilye2wl61u&amp;dl=0</t>
  </si>
  <si>
    <t>Add 1 AI effect đổi sang mùa xuân, 1 AI day to night transition</t>
  </si>
  <si>
    <t>https://www.dropbox.com/scl/fo/s57piq8ew2mgk4ua0l1tj/AFKd8RDe6hD5VmiGxkDk47Y?rlkey=qmwfgoe1e842vu8us8ddv70kj&amp;st=c6r4co7y&amp;dl=0</t>
  </si>
  <si>
    <t xml:space="preserve">1. https://gemini.google.com/share/b74e4d75ebff 
2. https://gemini.google.com/share/79ee01f94002 </t>
  </si>
  <si>
    <t>1. viết prompt tạo video từ ảnh bằng envato, chuyển cảnh timelapse landscape từ ngày (ảnh 1) sang đêm (ảnh 2), thêm những thay đổi của ánh sáng và chuyển động của mây theo những khoảng thời gian từ ngày đến đêm có trăng và sao, góc quay từ xa tiến lại gần 1 cách ổn định, mượt mà, chuyển cảnh liên tục, liền mạch, không nháy đèn, không mờ hình, không rung lắc, dựa trên 2 hình ảnh đầu vào, không tạo thêm các chi tiết hư cấu
2. viết prompt tạo video từ ảnh bằng envato, chuyển cảnh timelapse landscape từ ảnh gốc (ảnh 1) sang cảnh mùa xuân (ảnh 2), góc quay từ xa tiến lại gần 1 cách ổn định, mượt mà, chuyển cảnh liên tục, liền mạch, không nháy đèn, không mờ hình, không rung lắc, dựa trên 2 hình ảnh đầu vào, không tạo thêm các chi tiết hư cấu</t>
  </si>
  <si>
    <t>1. Create a landscape timelapse transition from daytime (Image 1) to nighttime (Image 2), strictly based on the two provided input images only.
Lighting changes naturally and continuously, starting with bright daylight, slowly dimming through late afternoon and dusk, and settling into a calm nighttime atmosphere.
Add cloud movement, evolving smoothly over time as the scene transitions from day to night, ending with a night sky that includes visible moon and stars, consistent with the reference night image.
The camera begins from a distant viewpoint and slowly moves forward toward the subject, maintaining a stable, smooth, and cinematic push-in motion with no shaking, no sudden zooms, and no abrupt camera movement.
The transition is continuous, seamless, and fluid, with no light flicker, no flashing, no motion blur, and no jitter.
Preserve the exact architecture, composition, colors, and object positions as shown in the two input images.
Do not add, remove, or invent any new objects, details, or environmental elements.
Visual style is cinematic and photorealistic, with clean depth, smooth lighting changes, and a realistic real-world timelapse look.
2. Create a landscape timelapse transition from the original scene (Image 1) to a spring season scene (Image 2), strictly based on the two provided input images only.
The environment transitions gradually and naturally, showing a smooth seasonal change into spring, with greener grass, blooming flowers, and blossoming trees exactly as represented in the reference spring image.
The transition unfolds continuously over time, with subtle, realistic changes in color, lighting, and atmosphere consistent with a natural seasonal timelapse.
The camera starts from a distant viewpoint and slowly moves forward toward the house, maintaining a stable, smooth, and cinematic push-in motion with no shaking, no sudden zooms, and no abrupt camera movement.
The transition is continuous, seamless, and fluid, with no light flicker, no flashing, no motion blur, and no jitter.
Preserve the exact architecture, layout, composition, colors, and object positions as shown in the two input images, including the houses, roofs, driveway, lawn layout, trees, and surrounding neighborhood.
Do not add, remove, or invent any new objects, environmental elements, or details beyond what appears in the input images.
Visual style is cinematic and photorealistic, with clean depth, smooth transitions, and a realistic real-world timelapse appearance.</t>
  </si>
  <si>
    <t>THJAN18020</t>
  </si>
  <si>
    <t>https://www.dropbox.com/scl/fo/cu7s8fw0iz77fdi0i9tgm/AC6TptPvWDZN6lujK6i_O44?rlkey=6dlv6kwbjksulda8qyssdhpgd&amp;dl=0</t>
  </si>
  <si>
    <t>Can you add cool Ai edits to make it look different seasons. 
( Add 1 AI effect đổi sang mùa xuân/ hè, 1 AI day to night transition )</t>
  </si>
  <si>
    <t>https://www.dropbox.com/scl/fo/sy197z4qu481bq6x2qaaj/AMpnV7X_KL3ClvPl4dPnTzI?rlkey=wa399cil2kjbq882jci76vnfu&amp;st=zdhgy8bx&amp;dl=0</t>
  </si>
  <si>
    <t>tạo khung cảnh buổi đêm cho bức ảnh này, các chi tiết khác giữ nguyên, bầu trời có sao, đèn trong nhà và ngoài sân được bật lên, tuyệt đối không được thay đổi kích thước của ảnh gốc</t>
  </si>
  <si>
    <t>viết prompt tiếng anh tôi dùng envanto để tạo video chuyển cảnh từ ngày (ảnh 1) đến đêm (ảnh 2), video sẽ bắt đầu từ ngày sau đó chuyển dần về đêm và đèn được bật lên từ từ sau khi trời bắt đầu tối và chuyển vể đêm, thời gian video giữa ngày và đêm gần bằng nhau (cảnh ban đêm ít nhất 3s), máy quay cố định không di chuyển, góc cam cố định, không rung lắc, không chớp nháy, chuyển cảnh mượt mà, đèn bật lên từ từ không đột ngột,</t>
  </si>
  <si>
    <t>Create a smooth cinematic transition video from Image 1 (daytime scene) to Image 2 (nighttime scene).
The video starts fully in daytime. The sky gradually darkens into evening and then night.
As the environment becomes darker, the lights in the scene slowly turn on one by one with soft natural glow — not sudden or flashing.
The transition from day to night is continuous, realistic, and seamless.
Camera is completely static throughout the entire video.
Fixed camera position and fixed angle.
No camera movement, no shake, no zoom.
Timing:
Daytime and nighttime durations are nearly equal.
Night scene remains visible for at least 3 seconds at the end.
Visual requirements:
No flicker.
No color jumping.
No abrupt lighting changes.
No flashing.
Smooth exposure adaptation.
Natural timelapse-style lighting transition.
Clean and stable image.
Maintain original aspect ratio.
Preserve original scene structure and composition.
Style: realistic, cinematic, smooth timelapse day-to-night transition.</t>
  </si>
  <si>
    <t>HAJAN19007</t>
  </si>
  <si>
    <t>https://www.dropbox.com/scl/fo/hxivxjnfd9f9vabqangdx/AD7FG3QsaTgq_YQHB58xd-Y?rlkey=xfxno19x042gg8bval8215640&amp;dl=0</t>
  </si>
  <si>
    <t>Tạo AI thay đổi từ mùa đông sang mùa hè và có cỏ ở phía trước nhà
Xuất 4K</t>
  </si>
  <si>
    <t>https://www.dropbox.com/scl/fi/9h1hp7xfkxcqbva2q2c8e/HAJAN19007.mp4?rlkey=oa3h9xuw4f6ddgzrioabjy20q&amp;st=uojv4vg0&amp;dl=0</t>
  </si>
  <si>
    <t>hãy tạo cảnh mùa hè (có cỏ trước nhà), bầu trời trong xanh và có mặt trời chiếu sáng khắp khung hình</t>
  </si>
  <si>
    <t>viết prompt tạo video từ ảnh bằng envato, chuyển cảnh timelapse landscape từ mùa đông (ảnh 1) sang mùa hè (ảnh 2), góc quay cố định, chuyển cảnh liên tục, liền mạch, không nháy đèn, không mờ hình, không rung lắc, dựa trên 2 hình ảnh đầu vào, không tạo thêm các chi tiết hư cấu</t>
  </si>
  <si>
    <t>Create a cinematic, photorealistic landscape timelapse transition strictly based on the two provided input images.
The scene transitions naturally from winter (Image 1) to summer (Image 2) through smooth, gradual seasonal changes.
Seasonal transition:
Snow and winter tones gradually fade, colors warm progressively, vegetation slowly becomes greener, and the overall atmosphere shifts naturally toward a summer look, exactly matching the reference summer image.
Lighting transition:
Lighting changes smoothly and continuously, becoming brighter and warmer over time, with stable exposure and natural shadow behavior.
Camera behavior:
The camera remains completely fixed and locked-off throughout the entire shot.
No camera movement, no zoom, no rotation, no shake.
Transition quality:
The transition is continuous, seamless, and temporally stable.
No light flicker, no exposure jumps, no motion blur, and no jitter.
Image integrity:
Preserve the exact architecture, composition, perspective, landscape layout, and object positions as shown in the two input images.
Do not add, remove, or invent any new objects, environmental elements, or details beyond what exists in Image 1 and Image 2.</t>
  </si>
  <si>
    <t>TRJAN19003rev</t>
  </si>
  <si>
    <t>https://www.dropbox.com/scl/fo/3v5x7137d59ltde4fgi5c/AFDhlJz2CIKS5-QStGffcFI?rlkey=h2ev3j4ck7a4q3cl5wyh38vxn&amp;dl=0</t>
  </si>
  <si>
    <t>chuyển từ mùa thu sang mùa hè cây xanh tốt</t>
  </si>
  <si>
    <t>https://www.dropbox.com/scl/fi/t9vnldmajbt72btx6gg3c/TRJAN19003rev.mp4?rlkey=aqqa0etvgfhz8meg8t75cnyvp&amp;st=a72elt75&amp;dl=0</t>
  </si>
  <si>
    <t>hãy tạo khung cảnh mùa hè cây xanh tươi tốt, bầu trời trong xanh và có nắng gắt cho hình ảnh này
tôi muốn có 1 mặt trời chiếu nắng bên góc phải ảnh</t>
  </si>
  <si>
    <t>viết prompt tạo video từ ảnh bằng envato, chuyển cảnh timelapse landscape từ mùa thu (ảnh 1) sang mùa hè (ảnh 2), góc quay cố định, chuyển cảnh liên tục, liền mạch, không nháy đèn, không mờ hình, không rung lắc, dựa trên 2 hình ảnh đầu vào, không tạo thêm các chi tiết hư cấu</t>
  </si>
  <si>
    <t>NGJAN20005</t>
  </si>
  <si>
    <t>https://www.dropbox.com/scl/fo/1ygcl9cdst0zmxygmdieq/AN_OKWtH2_tgk6QhK8Qi1OE?rlkey=4yswpfwgn6z7qvh4awgkitok1&amp;st=84sxewqe&amp;dl=0</t>
  </si>
  <si>
    <t xml:space="preserve">Chuyển cảnh từ mùa đông sang mùa hè từ xa đến gần
ren 4k giúp em
</t>
  </si>
  <si>
    <t>https://www.dropbox.com/scl/fi/m85wvotqe3g9l9xgo65o7/NGJAN20005.mp4?rlkey=hjg045806cjkhts2sfhn3iilp&amp;st=8a6wpnqm&amp;dl=0</t>
  </si>
  <si>
    <t>tạo hình ảnh mùa hè cho bức ảnh này, làm sao để nó mang một năng lượng mùa hè mà không làm mất các chi tiết gốc của khung cảnh, các chi tiết khác của ảnh giữ nguyên, tuyệt đối không thay đổi kích thước 9:16 của ảnh gốc, góc cam cố định</t>
  </si>
  <si>
    <t>A smooth seasonal transition video generated from the input images. Use Image 1 as the starting scene: a winter environment with gently falling snow. Use Image 2 as the final scene: the same location in summer. Keep the original environment, layout, objects, and composition consistent with the input images. Do not add any new elements or extra details.
The video begins with the winter scene. Soft snow is falling naturally. As time passes, the snow gradually fades away, winter tones slowly shift into warm summer colors, and the environment transitions seamlessly into the summer scene from Image 2. The transformation is continuous, gentle, and realistic, with no sudden changes, no flicker, and no visual artifacts.
Camera movement: start from a distant fixed framing, then slowly and smoothly dolly forward toward the scene. The camera angle remains fixed, with no pan, no tilt, and no rotation — only a gentle forward movement. Motion is stable, steady, and cinematic, with no shaking and no blur. Maintain original image proportions and visual style.</t>
  </si>
  <si>
    <t>NGJAN20005rev</t>
  </si>
  <si>
    <t>https://www.dropbox.com/scl/fo/cmwjv9bk66jl9gzuradg9/APDG9G5UF26h_Tb-qJ2XRrI?rlkey=w8p5bo8ivzmcwd7jg94u359ws&amp;st=xa82i6i9&amp;dl=0</t>
  </si>
  <si>
    <t xml:space="preserve">AI chuyển từ mùa đông sang mùa hè 
ren 4k giúp em
</t>
  </si>
  <si>
    <t>https://www.dropbox.com/scl/fi/uktdwnksx5o5chpcil1ds/NGJAN20005rev.mp4?rlkey=s1z8ptuz2gjgw91fwb99ip3xo&amp;st=cw753b4i&amp;dl=0</t>
  </si>
  <si>
    <t>https://gemini.google.com/share/3f3804a14458</t>
  </si>
  <si>
    <t>A smooth seasonal transition video generated from the input images. Use Image 1 as the starting scene: a winter environment with gently falling snow. Use Image 2 as the final scene: the same location in summer with sunlight. Keep the original environment, layout, objects, and composition consistent with the input images. Do not add any new elements or extra details.
The video begins with the winter scene. Soft snow is falling naturally. As time passes, the snow gradually fades away, winter tones slowly shift into warm summer colors, and the environment transitions seamlessly into the summer scene with sunlight from Image 2. The transformation is continuous, gentle, and realistic, with no sudden changes, no flicker, and no visual artifacts.
Camera movement: start from a distant fixed framing, then slowly and smoothly dolly forward toward the scene. The camera angle remains fixed, with no pan, no tilt, and no rotation — only a gentle forward movement. Motion is stable, steady, and cinematic, with no shaking and no blur. Maintain original image proportions and visual style.</t>
  </si>
  <si>
    <t>NGJAN21006</t>
  </si>
  <si>
    <t>https://www.dropbox.com/scl/fo/vkx868wi90yu4mw9xr1my/ANvTNHMMdJm9-MZFasxCvEM?rlkey=izub25s33f9ssaifxxnxinw4x&amp;dl=0</t>
  </si>
  <si>
    <t>- xuất hiện nội thất phòng khách
- If possible, add an AI transition of the front yard to make it look like summer briefly (trees full of leaves, green grass, that kind of thing...).</t>
  </si>
  <si>
    <t>https://www.dropbox.com/scl/fo/ub7o2yu60yo203hrd5226/AJiNyUbRvOIbPrG1z7__scs?rlkey=qkgygvroh1a37hjkr4wgq077c&amp;st=6wqagf7y&amp;dl=0</t>
  </si>
  <si>
    <t>https://gemini.google.com/share/cd9f23d9f58e</t>
  </si>
  <si>
    <t>1. 
2. Create a smooth timelapse transition video based strictly on the two input images.
Scene: a front house.
The video starts from Image 1: winter scene with dry trees.
Gradually transition the scene into Image 2: summer scene.
Dry tree branches smoothly transform into green leafy canopies.
Dry ground smoothly transforms into fresh green grass.
A warm sun appears in the sky, illuminating the forest naturally.
The forest layout, tree positions, and landscape geometry remain unchanged and identical to the input images.
Only seasonal transformation and lighting change occur.
Camera is fixed in position, no movement, no zoom, no rotation.
Transition is continuous, seamless, and natural like a real timelapse.
No flickering, no flashing, no shaking.
No motion blur, no ghosting.
No additional objects or details beyond the input images.
Lighting changes smoothly from winter daylight to warm summer sunlight.
Maintain realistic colors and stable exposure.
Cinematic realism.</t>
  </si>
  <si>
    <t>NHJAN19016rev2</t>
  </si>
  <si>
    <t>https://www.dropbox.com/scl/fo/oiz8fky41zi4dd6kt77l7/ACqY1uljz80xkJHHsCmbvF8?rlkey=d8jnhbv34dyjpohzjx9tz1bc1&amp;st=x8ox95hj&amp;dl=0</t>
  </si>
  <si>
    <t>chuyển sang mùa hè:
- cảnh 1: chuyển động từ phải sang trái
- cảnh 2: chuyển động từ gần đến xa
xuất 4K</t>
  </si>
  <si>
    <t>https://www.dropbox.com/scl/fo/p5gxqof5dvbc0od8i62k6/AG1UGJBM4pdpMKB4TRJYVn0?rlkey=9r27ltfoxj6uazwdk14rgv3hc&amp;st=y3ie6i5c&amp;dl=0</t>
  </si>
  <si>
    <t>1. Create a smooth timelapse transition video based strictly on the two input images.
Scene: front view of a house.
The video starts from Image 1: winter scene with the house facade, snow-covered ground, and bare trees.
Gradually transition the scene into Image 2: summer scene of the same house and landscape.
Snow-covered ground smoothly transforms into green grass.
Bare tree branches smoothly transform into green leafy canopies.
Warm summer sunlight appears naturally.
The house facade, tree positions, and landscape geometry remain unchanged and identical to the input images.
Only seasonal transformation and lighting changes occur.
Camera movement: slow, steady pan from right to left.
Camera motion is smooth and stable, no shaking, no vibration, no sudden speed changes.
Transition is continuous, seamless, and natural like a real timelapse.
No flickering, no flashing.
No motion blur, no ghosting.
No additional objects or details beyond the input images.
Maintain realistic colors and stable exposure.
Cinematic realism.</t>
  </si>
  <si>
    <t>NHJAN22002</t>
  </si>
  <si>
    <t>https://www.dropbox.com/scl/fo/ywmpgwffl7d274djp1dq3/ANvTJVQhc3IdcRfa-nITWdY?rlkey=74paiokai2aj7c49trv74ch4e&amp;dl=0</t>
  </si>
  <si>
    <t>Sample: https://www.instagram.com/reels/DRcyfftkwao/        
chuyển cảnh theo mùa cho căn nhà:
1. Chuyển cảnh Mùa đông → mùa hè
2. Chuyển cảnh mùa hè → mùa thu
3.  Sau khi đến mùa thu thì chuyển từ ban ngày sang ban đêm.
Note: Xuất 4K giúp em</t>
  </si>
  <si>
    <t>https://www.dropbox.com/scl/fo/jh2xxyy7puckzhe01ir20/AN9awuYxL4r7IPHiQAmD_jY?rlkey=5wvvoy2loevc3cuh67vydankz&amp;st=6ahzmbna&amp;dl=0</t>
  </si>
  <si>
    <t>https://gemini.google.com/share/e17a5daa68cc</t>
  </si>
  <si>
    <t>1. viết prompt tạo video từ ảnh bằng envato, chuyển cảnh timelapse landscape từ mùa đông tuyết phủ (ảnh 1) sang mùa hè cây xanh mọc lên và có ánh nắng mặt trời (ảnh 2), cảnh quay mặt tiền của 1 căn nhà, góc quay cố định, mượt mà, chuyển cảnh liên tục, liền mạch, không nháy đèn, không mờ hình, không rung lắc, dựa trên 2 hình ảnh đầu vào, không tạo thêm các chi tiết hư cấu
2. viết prompt tạo video từ ảnh bằng envato, chuyển cảnh timelapse landscape từ mùa hè cây xanh mọc lên và có ánh nắng mặt trời (ảnh 1) sang mùa thu lá khô vàng và có lá phong rơi trước cam (ảnh 2), cảnh quay mặt tiền của 1 căn nhà, góc quay cố định, mượt mà, chuyển cảnh liên tục, liền mạch, không nháy đèn, không mờ hình, không rung lắc, dựa trên 2 hình ảnh đầu vào, không tạo thêm các chi tiết hư cấu
3. ko có</t>
  </si>
  <si>
    <t>1. 2. 
3. Create a landscape timelapse transition from daytime (Image 1) to nighttime (Image 2), strictly based on the two provided input images only.
Lighting changes gradually and naturally over time, starting with bright daylight, slowly transitioning through late afternoon and dusk, and ending in a calm nighttime scene with visible moon and stars, consistent with the reference night image.
The sky shows subtle, realistic cloud movement, evolving smoothly in a timelapse style from day to night. Cloud motion remains natural and believable, without introducing any new or fictional cloud formations beyond what fits the original scene.
The camera starts from a distant viewpoint and slowly moves forward toward the building, maintaining a steady, smooth, and stable motion with no shaking, no sudden zooms, and no abrupt camera shifts.
The transition is continuous, seamless, and fluid, with no light flicker, no flashing, no motion blur, and no jitter.
Preserve the exact architecture, composition, colors, and object positions as shown in the input images, including the building, rooflines, windows, lighting, vegetation, and surrounding environment.
Do not add, remove, or invent any new objects, details, or architectural elements.
Visual style is cinematic and photorealistic, with clean depth, smooth light transitions, and a realistic real-world timelapse appearance.</t>
  </si>
  <si>
    <t>HAJAN22007</t>
  </si>
  <si>
    <t>https://www.dropbox.com/scl/fo/sdueulb2g969bf1mli89z/AJR-fMjXbErD33zIpoHQ3K8?rlkey=dhfcs8yi5yfrugql6vxe55f81&amp;dl=0</t>
  </si>
  <si>
    <t xml:space="preserve"> Add an Ai clip of the exterior of the home changing between winter spring summer and fall like the one in this video. Having it at the beginning so that it would be a scroll stopper. 
- SAMPLE AI: https://www.instagram.com/reel/DTSMEDFjNn5/?utm_source=ig_web_copy_link&amp;igsh=MzRlODBiNWFlZA==</t>
  </si>
  <si>
    <t>https://www.dropbox.com/scl/fo/j50ao7u232jfpfu33zxys/ACZl_OsSDg9xyADrHDYGjd8?rlkey=iwtyp3kkcvw6lwvi61x7i7zkd&amp;st=qddz2t2e&amp;dl=0</t>
  </si>
  <si>
    <t>tạo khung cảnh mùa thu cho bức ảnh này, làm sao để mang năng lượng mùa thu với lá vàng bay nhè nhẹ, các chi tiết khác của ảnh giữ nguyên, tuyệt đối không thay đổi kích thước 9:16 của ảnh gốc, góc cam cố định
tạo khung cảnh mùa xuân cho bức ảnh này, tôi muốn thay thành một số cây liên quan đến mùa xuân, cỏ cây tươi tốt, các chi tiết khác của ảnh giữ nguyên, tuyệt đối không thay đổi kích thước 9:16 của ảnh gốc, góc cam cố định</t>
  </si>
  <si>
    <t>Viết prompt tạo video từ ảnh, tôi dùng Higgsfield.ai và hiệu ứng general, tạo video chuyển cảnh từ mùa đông tuyết đang rơi sang mùa xuân cỏ cây hoa lá tươi tốt, máy quay di chuyển nhẹ lại gần, góc cam cố định, chuyển cảnh mượt mà không rung lắc, không chớp nháy, thời gian giữa mùa đông và mùa xuân phải gần bằng nhau
Viết prompt tạo video từ ảnh, tôi dùng Higgsfield.ai và hiệu ứng general, tạo video chuyển cảnh từ mùa mùa xuân cỏ cây hoa lá tươi tốt sang khung cảnh mùa hè, máy quay di chuyển nhẹ lại gần, góc cam cố định, chuyển cảnh mượt mà không rung lắc, không chớp nháy, thời gian giữa mùa hè và mùa xuân phải gần bằng nhau
Viết prompt tạo video từ ảnh, tôi dùng Higgsfield.ai và hiệu ứng general, tạo video chuyển cảnh từ mùa hè sang mùa thu với lá vàng bay nhẹ, máy quay di chuyển nhẹ lại gần, góc cam cố định, chuyển cảnh mượt mà không rung lắc, không chớp nháy, thời gian giữa mùa hè và mùa thu phải gần bằng nhau</t>
  </si>
  <si>
    <t>A smooth cinematic seasonal transition video generated from the input image. The scene begins in winter: gentle snowfall, soft white snow covering the ground and surroundings, cold atmosphere. After a few seconds, the environment gradually transitions into spring: snow slowly melts, green grass emerges, fresh leaves grow on trees, colorful flowers bloom naturally. The transition is seamless and continuous, with no flicker or sudden lighting change. The camera performs a slow dolly-in movement toward the house, fixed camera angle, stable shot, no shaking. Lighting remains realistic and consistent. Winter and spring screen time are nearly equal. High realism, soft natural motion, clean temporal consistency.
A smooth cinematic seasonal transition video generated from the input image. The scene begins in spring: lush green grass, fresh trees with vibrant leaves, colorful flowers in full bloom, bright and lively atmosphere. After a few seconds, the environment gradually transitions into summer: deeper green foliage, thicker tree canopies, warm sunlight, slightly brighter sky, and rich summer vegetation. The transition is seamless and continuous with no flicker, no sudden lighting changes, and no visual artifacts. The camera performs a slow dolly-in movement toward the house, fixed camera angle, stable shot, no shaking. Lighting remains natural and consistent. Spring and summer screen time are nearly equal. High realism, smooth motion, clean temporal consistency.
A smooth cinematic seasonal transition video generated from the input image. The scene begins in summer: lush green trees, vibrant grass, warm sunlight, calm atmosphere. After a few seconds, the environment gradually transitions into autumn: green leaves slowly turn yellow and orange, gentle autumn leaves drift softly in the air. The transition is seamless and continuous, with no flicker, no sudden lighting change, and no visual artifacts. The camera performs a slow dolly-in movement toward the house, fixed camera angle, stable shot, no shaking. Lighting remains natural and consistent. Summer and autumn screen time are nearly equal. High realism, soft natural motion, clean temporal consistency.</t>
  </si>
  <si>
    <t>NGJAN20005rev2</t>
  </si>
  <si>
    <t>https://www.dropbox.com/scl/fo/nd5zl26k1oku3po58n2cu/AGsDBrUP5LLsH7v2Sw2BUSk?rlkey=9io3vr45hmgqt9ze4a9b1wvno&amp;dl=0</t>
  </si>
  <si>
    <t>cảnh view hồ AI transition từ đông sang hè
xuât 4K</t>
  </si>
  <si>
    <t>https://www.dropbox.com/scl/fi/b5m7kug9z6qtdof1ymdcr/NGJAN20005rev2.mp4?rlkey=hyr1hs58xzbp9229rl3fohxxw&amp;st=uf86t97t&amp;dl=0</t>
  </si>
  <si>
    <t>tạo khung cảnh view hồ với thời tiết sang hè (mang năng lượng mùa hè), các chi tiết khác của ảnh giữ nguyên, tuyệt đối không thay đổi kích thước 9:16 của ảnh, góc cam cố định</t>
  </si>
  <si>
    <t>viết prompt tạo video từ ảnh, tôi dùng higgsfield.ai và hiệu ứng general 2.5 tạo video khung cảnh mùa đông có tuyết rơi sau đó chuyển sang mùa hè, chuyển động mượt mà, thời gian mùa hè nhiều hơn mùa đông, góc cam cố định, máy quay không di chuyển,</t>
  </si>
  <si>
    <t>Create a smooth seasonal transition video from winter to summer.
The video starts with a winter scene exactly as in Image 1.
Snow is gently falling in the scene.
The environment gradually transitions from winter to summer.
Snow slowly disappears as the scene warms into a summer landscape based on Image 2.
The summer scene lasts longer than the winter scene.
Camera remains completely fixed.
No camera movement.
No zoom.
No change in camera angle.
No shaking.
Maintain original composition and perspective.
Do not add new objects.
Do not change architectural details.
Transition is seamless and natural.
No flickering.
No flashing.
No jitter.
Lighting changes smoothly from cold winter light to warm summer light.</t>
  </si>
  <si>
    <t>https://www.dropbox.com/scl/fo/fma1nbrm9hz0plz0nenx8/AHk8w4HsIjscWsdBehH-kmY?rlkey=rnh8neq3v57zn8dzyaik66kdz&amp;dl=0</t>
  </si>
  <si>
    <t>đông sang hè ( 1-2 ), hè sang thu (2-3), thu về ban đêm (3-1)</t>
  </si>
  <si>
    <t>https://www.dropbox.com/scl/fo/eulpjvproo7jyplqvh32x/AJ6A2-4-CNy8-pyv7x1muOw?rlkey=ixl9gxuunh7tj9f2yrr23sscy&amp;st=07n1g530&amp;dl=0</t>
  </si>
  <si>
    <t xml:space="preserve">https://gemini.google.com/share/fb5031717eb3  
https://gemini.google.com/share/909bfd639d03  
https://gemini.google.com/share/1df0dfda3fbb </t>
  </si>
  <si>
    <t>1. viết prompt tạo video từ ảnh bằng envato, tạo video chuyển cảnh từ màu đông (ảnh 1) sang hình ảnh mùa hè (ảnh 2), có chuyển động mây, tuyết dần biến mất nhường chỗ cho những tia nắng, cây cối khô dần trở thành cây cối xanh tươi, góc quay từ xa đến gần,  chuyển cảnh mượt mà, liên tục, không thêm các chi tiết hư cấu khác nào ngoài các chi tiết có ở trong ảnh, không nháy ánh sáng, không mờ hình 
2. viết prompt tạo video từ ảnh bằng envato, tạo video chuyển cảnh từ màu hè (ảnh 1) sang hình ảnh mùa thu (ảnh 2), có chuyển động mây, lá xanh dần chuyển sang mùa thu và lá vàng rụng, lá vàng rụng tự nhiên chân thật, góc quay từ xa đến gần,  chuyển cảnh mượt mà, liên tục, không thêm các chi tiết hư cấu khác nào ngoài các chi tiết có ở trong ảnh, không nháy ánh sáng, không mờ hình
3. viết prompt tạo video từ ảnh bằng envato, tạo video chuyển cảnh từ màu thu (ảnh 1) sang hình ảnh ban đêm (ảnh 2), có chuyển động mây, lá vàng dần biến mất, bầu trời chuyển dần sang đêm, góc quay gần lùi ra xa,  chuyển cảnh mượt mà, liên tục, không thêm các chi tiết hư cấu khác nào ngoài các chi tiết có ở trong ảnh, không nháy ánh sáng, không mờ hình</t>
  </si>
  <si>
    <t>1. Create a smooth seasonal transition video based on the two provided images. The scene transitions from winter (Figure 1) to summer (Figure 2), while maintaining the composition, proportions, and visual elements of the original images. The camera starts from a distant point and slowly moves toward the scene, maintaining a steady, cinematic approach without shaking, juddering, or sudden acceleration.
During the transition, the snow gradually melts and disappears, naturally replaced by warm sunlight. The dry, leafless trees gradually transform into lush green foliage, perfectly matching the final summer image. Clouds move gently and continuously across the sky, adding realism, while all other elements remain consistent with the provided images.
The transition must be continuous, smooth, and authentic, without flickering light, exposure changes, motion blur, or image distortion. No elements should be added, removed, or modified beyond what is already present in the input image. All objects remain stationary, and no fictional details are added. The final result should feel natural, seamless, and cinematic, as if the same location is gently transitioning from winter to summer under steady and controlled camera movement.
2. Create a smooth seasonal transition video based on the two provided images. The scene transitions from summer (Figure 1) to autumn (Figure 2), while maintaining the original composition, proportions, and all elements from the input images. The camera starts from a distance and slowly moves toward the scene with a steady, cinematic approach. The camera movement should be smooth, continuous, and stable, without shaking, juddering, or sudden changes in speed.
During the transition, the green foliage gradually transitions to autumn colors, naturally shifting to yellow tones. Yellow leaves gently fall from the trees in a realistic and natural way, matching the final autumn image. Clouds should be visible moving in the sky, while all other objects remain completely still and unchanged.
The transition must be seamless and continuous, without flickering lights, changes in exposure, motion blur, or other unusual visual phenomena. Do not add, subtract, or alter any elements beyond what is present in the provided image. No fictional details are permitted. The final result must feel authentic, serene, and cinematic, as if the same location is naturally transitioning from summer to autumn under the control of the camera's movement.
3. Create a smooth transition video based on the two provided images. The scene transitions from autumn (Figure 1) to nighttime (Figure 2), while maintaining the original composition, proportions, and all elements from the input images. The camera starts from a close-up position and slowly moves backward, creating a steady, drawn-out motion. The camera movement should be stable, smooth, and continuous, without shaking, jerking, or sudden changes in speed.
During the transition, the golden autumn leaves gradually disappear naturally and subtly, matching the final nighttime image. The sky slowly darkens from twilight to night, with realistic cloud movement. All other objects in the scene remain completely still and unchanged.
The transition must be seamless and continuous, without flickering lights, sudden exposure changes, motion blur, or image noise. Do not add, subtract, or alter any elements beyond what is already present in the provided image. No fictional details are permitted. The final result must feel serene, authentic, and cinematic, as if the environment naturally transitions from autumn daylight to nighttime under the control of the camera's movement.</t>
  </si>
  <si>
    <t>QUJAN23007</t>
  </si>
  <si>
    <t>https://www.dropbox.com/scl/fo/mrmdkw3dvo06gdzt15ewy/AEyazRQGqk7Ok9mWBOBdeiU?rlkey=ef7jz64g4nw7h7cq4l0iee6gn&amp;dl=0</t>
  </si>
  <si>
    <t xml:space="preserve">https://www.instagram.com/p/DTa3sjJE0-Q/ 
làm 4 mùa ft khách ngắn nên làm đổi mùa lùi ra tiến vào
1 ft làm nội thất phòng khách </t>
  </si>
  <si>
    <t>https://www.dropbox.com/scl/fo/wfs7v427kv2ocfk8lbgfe/AIysahU0HQsqiBIKrnXV4vc?rlkey=4quns2kziwbtxjfe4te4211r7&amp;st=4pb7p2dg&amp;dl=0</t>
  </si>
  <si>
    <t>tạo hình ảnh đồ nội thất phòng khách theo phong cách sang trọng hiện đại, các chi tiết khác của ảnh giữ nguyên, tuyệt đối không thay đổi kích thươc 9:16 của ảnh, góc cam cố định, giữ nguyên kết cấu tường v à kết cấu cửa, không được để nội thất chắn lối vào khu bếp
tạo khung cảnh mùa xuân cho bức ảnh này, làm sao để chúng mang năng lượng với những loài hoa, cỏ cây mùa xuân, hoa lá xanh tốt, các chi tiết các chi tiết khác của ảnh giữ nguyên, tuyệt đối không thay đổi kích thươc 9:16 của ảnh, góc cam cố định</t>
  </si>
  <si>
    <t>viết prompt tạo video từ ảnh, tôi dùng higgsfield.ai và hiệu ứng general, tôi muốn tạo video nội thất  xuất hiện từ căn phòng trống, video sẽ bắt đầu từ căn phòng trống ảnh 1 sau đó đồ nội thất sẽ xuất hiện đồng thời ra ở ảnh 2, máy quay giữ cố định không di chuyển, góc cam cố định. Đặc biệt các đồ nội thất phải xuất hiện ra đồng thời, chuyển động xuất hiện không quá nhanh, không quá chậm, liền mạch, không rung lắc, không chớp nháy</t>
  </si>
  <si>
    <t>Create a smooth transformation video from Image 1 to Image 2.
The video starts with an empty room exactly like Image 1.
Then, all interior furniture from Image 2 appears simultaneously in the room.
The furniture materializes smoothly and continuously, not too fast, not too slow.
All objects appear at the same time, not one by one.
Camera is completely fixed.
No camera movement.
No zoom.
No change in camera angle.
No shaking.
Maintain the original composition and perspective of Image 1 and Image 2.
No additional objects.
No style change.
Animation must be seamless and stable.
No flickering.
No flashing.
No jitter.
Realistic lighting transition as furniture appears.
Clean and natural motion.</t>
  </si>
  <si>
    <t>NHJAN23013</t>
  </si>
  <si>
    <t>https://www.dropbox.com/scl/fo/wj4dpi62kwqtk7q6llpc7/AL3lIzFgZIb_9zNnd5CnLIs?rlkey=czi0md5o9km0axsd6b1yasgay&amp;dl=0</t>
  </si>
  <si>
    <t>Đông sang hè</t>
  </si>
  <si>
    <t>https://www.dropbox.com/scl/fo/d25d769uv140687hnnpxp/AANXptL2Xkn4tnUbWDIenJg?rlkey=ai80hjs32y1ohxkslytch4zhm&amp;st=w8jzhyr2&amp;dl=0</t>
  </si>
  <si>
    <t xml:space="preserve">https://gemini.google.com/share/ca6367e0f26e 
https://gemini.google.com/share/b900cbcc4d05 
https://gemini.google.com/share/e75a3fcf6ff9 </t>
  </si>
  <si>
    <t>viết prompt tạo video từ ảnh bằng envato, tạo video chuyển cảnh từ màu đông (ảnh 1) sang hình ảnh mùa hè (ảnh 2), có chuyển động mây, tuyết dần biến mất nhường chỗ cho những tia nắng, cây cối khô dần trở thành cây cối xanh tươi, mọi chiếc xe trong khung cảnh đều ở trạng thái tĩnh không di chuyển, góc quay cố định,  chuyển cảnh mượt mà, liên tục, không thêm các chi tiết hư cấu khác nào ngoài các chi tiết có ở trong ảnh, không nháy ánh sáng, không mờ hình</t>
  </si>
  <si>
    <t>Create a smooth and continuous transition video strictly based on the two provided images. The scene transitions from winter (Image 1) to summer (Image 2), with natural and realistic cloud movement visible in the sky throughout the transition. Snow gradually melts and disappears, giving way to warm sunlight, while dry, leafless trees and vegetation slowly transform into lush, green foliage. All vehicles present in the scene must remain completely stationary at all times, with no movement or animation.
Use a fixed camera angle for the entire video, with no camera movement, shaking, or vibration. The transition must be seamless and continuous, with no light flicker, no exposure changes, and no motion blur.
Do not add, remove, or invent any elements beyond what exists in the provided images. All objects, positions, proportions, and visual details must remain exactly consistent with the original images. The final result should feel realistic, cinematic, and professionally polished.</t>
  </si>
  <si>
    <t>TLJAN24003</t>
  </si>
  <si>
    <t>https://www.dropbox.com/scl/fo/kc027u09651sv2cv4p525/AGOJZK6fN-YMHVDUJVVR5xM?rlkey=18sii5w7utk65b0qts40u3svj&amp;dl=0</t>
  </si>
  <si>
    <t>Add AI đổi mùa sang mùa hè
Sample https://www.instagram.com/reel/DTWGRUKE6a8/?igsh=a2h0ZjNnYmlrMzJ2
làm đổi mùa từ ft gần &gt; ra xa</t>
  </si>
  <si>
    <t>https://www.dropbox.com/scl/fi/fn4ol8w5bq1meyzx5yw0y/TLJAN24003.mp4?rlkey=nbb1vub75yz56yc55t0xvbd8c&amp;st=eeryfrgo&amp;dl=0</t>
  </si>
  <si>
    <t>QUJAN25002</t>
  </si>
  <si>
    <t>https://www.dropbox.com/scl/fo/y1xlprr6shk3sbd88d5sj/ADSMc2XtUkBiIbSBOeVIDYw?rlkey=l8g0ctxmx6f9yagpm9j7r94vv&amp;dl=0</t>
  </si>
  <si>
    <t>Thêm 3 AI, phòng  khách   ( có nội thất và  có người đang ngồi chơi kiểu như tiệc ) , phòng bếp  có người nấu ăn cbi , phòng ngủ thêm nội thất. 2 AI ngoại thất chuyển mùa</t>
  </si>
  <si>
    <t>https://www.dropbox.com/scl/fo/xerhl8k4fq59rbkgu22zj/ADrYC5Kdf_JY14u98Niu1M8?rlkey=y5wejvp8r2lhs7wwb0rwcdsrn&amp;st=azycp7ve&amp;dl=0</t>
  </si>
  <si>
    <t>https://gemini.google.com/app/1f103955e4cb02b4#41e3e926172470ef</t>
  </si>
  <si>
    <t>viết prompt tạo video từ ảnh bằng higgfield.ai, tôi dùng general (kling 2.5), chuyển cảnh từ mùa đông (ảnh 1) sang mùa hè có pháo hoa (ảnh 2), có chuyển động mây, khi chuyển sang mùa hè pháo hoa từ giữa mảnh đất được bắn thẳng lên bầu trời, góc quay nâng lên và lia nhẹ sang bên phải, chuyển cảnh mượt mà, liên tục</t>
  </si>
  <si>
    <t>Generate a cinematic transition video based strictly on two input images.
The scene begins in winter (Image 1): cold atmosphere, winter lighting and colors preserved exactly as in the input image. Snow-covered or bare landscape remains unchanged. Add subtle, natural cloud movement in the sky.
Perform a smooth and continuous seasonal transition from winter to summer (Image 2). Snow gradually melts, colors slowly warm up, vegetation transitions naturally to summer, matching Image 2 precisely with no added or missing details.
As the scene fully reaches summer, fireworks launch vertically from the center of the land straight up into the sky. Fireworks are realistic, clean trajectories, correct scale, bright but natural light, no excessive flashing.
Camera movement: a stable upward lift combined with a gentle pan to the right, smooth FPV-style motion, constant speed, no sudden acceleration.
The transition must be seamless, fluid, and uninterrupted, no hard cuts, no flicker, no motion blur, no jitter.
Use only elements present in the input images, except for clouds and fireworks as described.
Ultra-realistic lighting, consistent perspective, cinematic quality, natural motion.</t>
  </si>
  <si>
    <t>MHJAN26001</t>
  </si>
  <si>
    <t>https://www.dropbox.com/scl/fo/ie82m58pe5vs7eur5awj0/AE9at30TR9lWF33ZTD47GdQ?rlkey=1xtwjvuwp529cor3ogkvd3p9f&amp;st=1pzsq2ba&amp;dl=0</t>
  </si>
  <si>
    <t>hãy làm 4 mùa cho em giật vào xong giật ra tung pháo hoa, đừng để các cảnh lệch màu ( sau khi cảnh mùa đông làm xong thì lùi lại chỗ ft mùa thu để tung pháo hoa ạ)</t>
  </si>
  <si>
    <t>https://www.dropbox.com/scl/fo/551xhf44zmwunlz8ds7ru/AArOdmV4htvBay1YU1jNL_s?rlkey=abn4r8iep7vofleis837ld2eb&amp;st=mmu7gefy&amp;dl=0</t>
  </si>
  <si>
    <t>1. hè sang thu: 
General (Minimax). Start with the summer image as the first frame. Gradually transform the scene into autumn: leaves slowly shift from green to yellow–orange–red, trees lose some foliage, the lighting becomes softer and warmer, and the atmosphere changes to a gentle autumn mood. The transition must be smooth, slow, and seamless. The sky should animate continuously in a soft timelapse motion—clouds drifting naturally, light shifting gently—no sudden jumps or cuts. Use subtle dolly-zoom or walkthrough camera motion for a cinematic flowing transformation, a slight pan to the right
2. xuân sang hè:
General (Minimax). Start with the spring scene as the first frame. Gradually transform the entire landscape into summer: trees become fuller and greener, sunlight grows brighter, grass becomes more vivid, and the overall atmosphere warms up. The transition must be smooth and seamless. The sky animates continuously in a soft timelapse motion—clouds drifting steadily, brightness increasing, light shifting naturally—absolutely no abrupt cuts. Maintain the camera with subtle dolly-zoom or gentle walkthrough motion for a cinematic, stable transformation, a slight pan to the right
3. đông sang xuân:
General (Minimax). Start with the original image as the winter scene. Gradually transform the entire scene into the second image representing spring. The transition must be smooth and seamless, with the snow melts, then trees gaining leaves, colors becoming vibrant, and the atmosphere warming up. The sky animates continuously in a soft timelapse motion—clouds drifting gently, light shifting smoothly—no abrupt cuts. Maintain stable camera framing with subtle dolly-zoom or gentle walkthrough motion for a cinematic feel.</t>
  </si>
  <si>
    <t>THJAN25011Rev</t>
  </si>
  <si>
    <t>https://www.dropbox.com/scl/fo/el62u9cnp7nfbcngej0x9/AIOlwqGaChTGVBneUxxclps?rlkey=mcg0mx392xtl1o019cg4gqqo8&amp;st=01akrsuo&amp;dl=0</t>
  </si>
  <si>
    <t>Ending effect with summer change and fireworks going off
KHÁCH feedback : For the last AI clip, it looks too fake and it added houses and driveways that aren't there. Is there a way to get a better accurate result?</t>
  </si>
  <si>
    <t>https://www.dropbox.com/scl/fi/2cohoq4t3lfgwke7jquw0/THJAN25011Rev.mp4?rlkey=upvig7992goap9hxx30e00en6&amp;st=zmofg7ti&amp;dl=0</t>
  </si>
  <si>
    <t>1. https://gemini.google.com/share/65a5b4a6c0fe
2. https://gemini.google.com/share/4b55eeaae18c</t>
  </si>
  <si>
    <t>1. General (Minimax). Start with the original image as the winter scene. Gradually transform the entire scene into the second image representing summer. The transition must be smooth and seamless, with the snow melts, then trees gaining leaves, and the atmosphere warming up with sunlight The sky animates continuously in a soft timelapse motion—clouds drifting gently, light shifting smoothly—no abrupt cuts. Maintain stable fixed camera framing for a cinematic feel.
2. Generate a realistic video strictly based on the provided input image.
Preserve the original scene, composition, people, furniture, tableware, lighting, colors, and background exactly as in the input image.
Do not add, remove, or modify any objects, people, or environmental details.
The camera remains completely fixed and stable throughout the video.
No camera movement, no zoom, no shake, no vibration.
The family sits together at the dining table, eating and interacting in a warm and joyful atmosphere.
Movements are subtle, natural, and realistic:
gentle hand movements while eating, small gestures, light head turns, relaxed posture, natural breathing.
All human motion must be physically accurate and restrained.
No exaggerated animation, no sudden movements, no unnatural poses.
Faces remain stable and consistent at all times:
no facial distortion, no face morphing, no identity changes, no artifacts.
Lighting and exposure remain constant and consistent with the original image.
No flickering light, no flashing, no blur, no motion smearing, no focus shift.
Smooth, cinematic motion with high realism and temporal stability.</t>
  </si>
  <si>
    <t>VUJAN28001</t>
  </si>
  <si>
    <t>https://www.dropbox.com/scl/fo/lva4b5sptmu652kidqfod/ABConwEbXJ5tBv450BxSBrs?rlkey=tv228zusjls14cac535vql1oq&amp;st=kuc7me45&amp;dl=0</t>
  </si>
  <si>
    <t>1. Đầu &gt; cuối : đông sang xuân
2. Cuối &gt; đầu : xuân sang hè
3. Đầu &gt; cuối : hè sang thu</t>
  </si>
  <si>
    <t>https://www.dropbox.com/scl/fo/8v3mdanfcm1qd4s9ht1u3/APiVxMbCGBJrB7ZbhqPNrkE?rlkey=5s8grc2iafhye90b26kkksqi4&amp;st=gfl88adb&amp;dl=0</t>
  </si>
  <si>
    <t>tạo hình ảnh mùa xuân cho bức ảnh này, cho các cây mang không khí mùa xuân, trước nhà thay mấy chậu cây thành chậu hoa, có màu xanh tốt, bầu trời cũng giống bầu trời mùa xuân, các chi tiết khác giữ nguyên, tuyệt đối không thay đổi kích thước gốc 9:16 của ảnh, góc cam cố định
tạo hình ảnh mùa hè cho bức ảnh này, , bầu trời cũng giống bầu trời mùa hè trời xanh mây trắng, các chi tiết khác giữ nguyên, tuyệt đối không thay đổi kích thước gốc 9:16 của ảnh, góc cam cố định
tạo hình ảnh mùa thu cho bức ảnh này, ,tất cả các chi tiết đều mang không khí mùa thu, có thêm lá vàng bay nhẹ , các chi tiết khác giữ nguyên, tuyệt đối không thay đổi kích thước gốc 9:16 của ảnh, góc cam cố định
tạo hình ảnh mùa đông cho bức ảnh này, ,tất cả các chi tiết đều mang không khí mùa đông, có thêm tuyết rơi, , các chi tiết khác giữ nguyên, tuyệt đối không thay đổi kích thước gốc 9:16 của ảnh, góc cam cố định</t>
  </si>
  <si>
    <t xml:space="preserve"> tạo video từ ảnh, tôi dùng Higgsfield.ai và hiệu ứng general, tạo video chuyển cảnh sang mùa xuân, máy quay di chuyển nhẹ nhàng, góc cam cố định, chuyển cảnh mượt mà không rung lắc, không chớp nháy, thời gian video mùa xuân sẽ phải nhiều hơn (tập trung vào khung cảnh mùa xuân)
Viết prompt tiếng anh tạo video từ ảnh, tôi dùng Higgsfield.ai và hiệu ứng general, tạo video chuyển cảnh từ mùa xuân sang mùa hạ, máy quay di chuyển nhẹ nhàng, góc cam cố định, chuyển cảnh mượt mà không rung lắc, không chớp nháy, thời gian video mùa hạ sẽ phải nhiều hơn (tập trung vào khung cảnh mùa hạ)
Viết prompt tiếng anh tạo video từ ảnh, tôi dùng Higgsfield.ai và hiệu ứng general, tạo video chuyển cảnh từ mùa hạ sang mùa thu có lá vàng bay nhẹ, máy quay di chuyển nhẹ nhàng, góc cam cố định, chuyển cảnh mượt mà không rung lắc, không chớp nháy, thời gian video mùa thu sẽ phải nhiều hơn (tập trung vào khung cảnh mùa thu )
Viết prompt tiếng anh tạo video từ ảnh, tôi dùng Higgsfield.ai và hiệu ứng general, tạo video chuyển cảnh từ mùa thu có lá vàng bay nhẹ sang mùa đông có tuyết rơi máy quay di chuyển nhẹ nhàng, góc cam cố định, chuyển cảnh mượt mà không rung lắc, không chớp nháy, thời gian video mùa đông sẽ phải nhiều hơn (tập trung vào khung cảnh mùa đông)</t>
  </si>
  <si>
    <t>Transform the input image into a cinematic seasonal transition video.
The video begins with the original scene, then smoothly transitions into a vibrant spring version of the same environment. Trees gradually bloom with fresh green leaves and colorful flowers, grass becomes lush, and warm soft sunlight appears.
The camera remains at a fixed angle with a gentle, slow forward movement.
No camera shake, no flicker, no sudden jumps.
The transition is continuous, smooth, and seamless.
Spend more screen time on the spring scene — the spring environment should be the main focus of the video.
Realistic lighting, natural colors, high realism, cinematic quality.
Create a cinematic seasonal transition video from the input image.
The video begins in a fresh spring environment, then smoothly transitions into a bright summer version of the same scene.
During the transition, trees gain fuller green foliage, flowers gently fade into rich summer greenery, sunlight becomes stronger and warmer, and shadows grow slightly deeper. The environment feels lively and summery.
The camera angle remains fixed with a gentle, slow forward movement.
No camera shake, no jitter, no flicker, no flashing.
The transition is seamless, continuous, and natural.
Spend more screen time on the summer scene — the summer environment must be the main focus of the video.
High realism, natural colors, cinematic lighting.
Create a cinematic seasonal transition video from the input image.
The video begins in an autumn environment with warm golden leaves gently drifting in the air, then smoothly transitions into a calm winter version of the same scene.
During the transition, autumn colors slowly fade, trees become bare, light snow begins to fall, and the environment gradually turns into a serene winter landscape covered with soft snow. Snowflakes gently fall throughout the winter scene. Lighting becomes cooler and softer, creating a peaceful winter atmosphere.
The camera angle remains fixed with gentle, slow forward movement.
No camera shake, no jitter, no flicker, no flashing lights.
The transition is seamless, continuous, and natural.
Spend more screen time on the winter scene — the winter environment must be the main focus of the video.
High realism, cinematic lighting, smooth motion, natural color transition.
Create a cinematic seasonal transition video from the input image.
The video begins in an autumn environment with warm golden leaves gently drifting in the air, then smoothly transitions into a calm winter version of the same scene.
During the transition, autumn colors slowly fade, trees become bare, light snow begins to fall, and the environment gradually turns into a serene winter landscape covered with soft snow. Snowflakes gently fall throughout the winter scene. Lighting becomes cooler and softer, creating a peaceful winter atmosphere.
The camera angle remains fixed with gentle, slow forward movement.
No camera shake, no jitter, no flicker, no flashing lights.
The transition is seamless, continuous, and natural.
Spend more screen time on the winter scene — the winter environment must be the main focus of the video.
High realism, cinematic lighting, smooth motion, natural color transition.</t>
  </si>
  <si>
    <t>THJAN28018</t>
  </si>
  <si>
    <t>https://www.dropbox.com/scl/fo/qx80vtuci91b87ud3b8l6/ADLiJdt6VzQCdIStq4whYmI?rlkey=2w6y3iltcmaf4ny2sy885c5s5&amp;dl=0</t>
  </si>
  <si>
    <t>ngoài trời chuyển sang hè, trong nhà thêm gia đình đang ngồi ăn uống vui vẻ</t>
  </si>
  <si>
    <t>https://www.dropbox.com/scl/fo/76nbzhsjg685qjiyocc2v/AJDOGU_TmwvUoWXAvo-ANEw?rlkey=v3tybd819rdxoeiobtvunowts&amp;st=p2g5ctfg&amp;dl=0</t>
  </si>
  <si>
    <t>tạo khung cảnh mùa hạ cho bức ảnh này với trời xanh mấy trắng, làm cho nó có không khí mùa hạ dựa trên các chi tiết gốc của ảnh, góc cam cố định, tuyệt đối không thay đổi kích thước của ảnh
tạo khung cảnh mùa thu cho bức ảnh này với lá vàng bay nhẹ, , làm cho nó có không khí mùa thu dựa trên các chi tiết gốc của ảnh, góc cam cố định, tuyệt đối không thay đổi kích thước của ảnh</t>
  </si>
  <si>
    <t>Viết prompt tiếng anh tạo video từ ảnh, tôi dùng Higgsfield.ai và hiệu ứng general, tạo video chuyển cảnh từ mùa đông có tuyết rơi sang mùa hạ với trời xanh mây trắng, tập trung nhiều hơn vào khung cảnh mùa hạ (thời lượng mùa hạ giữ lâu hơn), máy quay giữ cố định không di chuyển, góc cam cố định
Viết prompt tiếng anh tạo video từ ảnh, tôi dùng Higgsfield.ai và hiệu ứng general, tạo video chuyển cảnh từ mùa đông có tuyết rơi sang mùa xuân với cỏ cây hoa tươi tốt, tập trung nhiều hơn vào khung cảnh mùa xuân(thời lượng mùa xuân giữ lâu hơn), máy quay giữ cố định không di chuyển, góc cam cố định
Viết prompt tiếng anh tạo video từ ảnh, tôi dùng Higgsfield.ai và hiệu ứng general, tạo video chuyển cảnh từ mùa đông có tuyết rơi sang mùa xuân thu lá bay nhẹ, tập trung nhiều hơn vào khung cảnh mùa thu(thời lượng mùa thu giữ lâu hơn), máy quay giữ cố định không di chuyển, góc cam cố định</t>
  </si>
  <si>
    <t>Create a cinematic seasonal transition video from the input image.
The video begins in a quiet winter environment with gentle falling snow and cool lighting. Then it smoothly transitions into a bright summer version of the same scene, with clear blue sky, soft white clouds, and warm sunlight.
During the transition, snow gradually disappears, ice melts naturally, colors shift from cool winter tones to vivid summer tones, and the environment becomes fresh and lively.
The camera remains completely fixed throughout the video.
No camera movement, no zoom, no shake.
The camera angle stays constant.
The transition is seamless, smooth, and continuous.
Spend more screen time on the summer scene — the summer landscape must be the main focus of the video.
No flicker, no flashing, no abrupt cuts.
High realism, natural colors, cinematic lighting.
Create a cinematic seasonal transition video from the input image.
The video begins in a calm winter environment with gentle falling snow and cool soft lighting. Then it smoothly transitions into a fresh spring version of the same scene, where snow melts away, green grass appears, trees bloom with flowers, and colorful plants grow vibrantly.
During the transition, winter elements gradually fade, ice and snow dissolve naturally, and lively spring colors spread across the environment. The atmosphere becomes warm, bright, and full of life.
The camera remains completely fixed throughout the video.
No camera movement, no zoom, no shake.
The camera angle stays constant.
The transition is seamless, smooth, and continuous.
Spend more screen time on the spring scene — the spring landscape must be the main focus of the video.
No flicker, no flashing lights, no abrupt cuts.
High realism, natural colors, cinematic lighting.
Create a cinematic seasonal transition video from the input image.
The video begins in a quiet winter environment with gentle falling snow and cool soft lighting. It then smoothly transitions into a warm autumn version of the same scene.
During the transition, snow gradually melts and disappears, winter tones fade away, trees shift into golden and orange colors, and a few yellow leaves gently drift through the air. The environment becomes warm, calm, and atmospheric.
The camera remains completely fixed throughout the video.
No camera movement, no zoom, no shake.
The camera angle stays constant.
The transition is seamless, smooth, and continuous.
Spend more screen time on the autumn scene — the autumn landscape must be the main focus of the video.
No flicker, no flashing lights, no abrupt cuts.
High realism, cinematic lighting, natural color transitions.</t>
  </si>
  <si>
    <t>NHJAN28019</t>
  </si>
  <si>
    <t>https://www.dropbox.com/scl/fo/upt7hdx32sbqjns55i5ri/AIWDaHzENqrpOZm_vB2RdL4?rlkey=h4zo3pu4i347f4p6dv09ikfic&amp;dl=0</t>
  </si>
  <si>
    <t>I'd like to utilize AI in the front exterior of the home. My client wants to change the seasons from (summer, fall, winter, spring, etc).
di chuyển:
1-&gt;2 
2-&gt;3
3-&gt;4
4&lt;-3
mỗi cảnh 1 mùa</t>
  </si>
  <si>
    <t>https://www.dropbox.com/scl/fo/ukyrptgqa86xpvt7d2xjs/AMzgsi6ycDrNAMVggEUxOUo?rlkey=xv7r63gr031ojumpxfqagm8bd&amp;st=cfhz417y&amp;dl=0</t>
  </si>
  <si>
    <t>phàn xa xa của bức ảnh hình như vẫn còn một phần ô trống tuyết, thay cho tôi mang không khí mùa xuân, tuyệt đối không thay đổi kích thước 9:16 của ảnh, góc cam cố định</t>
  </si>
  <si>
    <t>Viết prompt tiếng anh tạo video từ ảnh, tôi dùng Higgsfield.ai và hiệu ứng general, tạo video chuyển cảnh từ mùa đông có tuyết rơi sang mùa xuân với trời xanh mây trắng, máy quay giữ cố định không di chuyển, góc cam cố định</t>
  </si>
  <si>
    <t>A realistic outdoor scene transitioning from winter to spring. The video starts with a snowy winter landscape with gently falling snow, then smoothly transforms into a fresh spring setting with blue sky and white clouds. Smooth seasonal transition, realistic lighting and shadows, high detail, camera fixed in place, no camera movement, fixed angle perspective, stable framing, high-quality rendering, environment realism."</t>
  </si>
  <si>
    <t>VUJAN29006</t>
  </si>
  <si>
    <t>https://www.dropbox.com/scl/fo/80126554iegqgp5b4l2h4/AOns9CkvhxYFEZY3bwDfCK8?rlkey=ovbt89u358pafzaluq1fqo6rp&amp;st=or7mb9kh&amp;dl=0</t>
  </si>
  <si>
    <t>chuyển 3 mùa nhé ạ theo note</t>
  </si>
  <si>
    <t>https://www.dropbox.com/scl/fo/enjnfj2vblpsswv9ggx0n/AAxLklSoq2_XcN6w3AWOnW8?rlkey=h4kgbtjl54tt2otyo2ibb3as6&amp;st=qqp2hnl1&amp;dl=0</t>
  </si>
  <si>
    <t>NHJAN29012</t>
  </si>
  <si>
    <t>https://www.dropbox.com/scl/fo/s0khitzyqd1hij5mspy7s/AK5smp_dpQNrqRi0Qv_K1DI?rlkey=c59zipu5fh8jk0929sgy98kr3&amp;st=0xdtu1i1&amp;dl=0</t>
  </si>
  <si>
    <t>Ai chuyển mùa (Transition sang phiên bản AI mùa xuân
(Cỏ xanh, cây nhiều màu, không có tuyết))</t>
  </si>
  <si>
    <t>https://www.dropbox.com/scl/fi/2zscfwrq62sui20f4sypw/NHJAN29012.mp4?rlkey=4097eu72itnsfak3uygwu59v6&amp;st=tcz7lzsu&amp;dl=0</t>
  </si>
  <si>
    <t>TLJAN30009</t>
  </si>
  <si>
    <t>https://www.dropbox.com/scl/fo/1jeqtpwlp4tk4n40yh4ui/AETFxFgPd7tvvjr910dhf4U?rlkey=4tkgdbpqw0iuyvyporthbn717&amp;st=hp7qp3mu&amp;dl=0</t>
  </si>
  <si>
    <t>chuyển cảnh đông sang hè từ gần đến xa
xuất 4k</t>
  </si>
  <si>
    <t>https://www.dropbox.com/scl/fi/9xsroagbxeyat5wp1kler/TLJAN30009-1.mp4?rlkey=sz920n9qlc4ltmj9xnjhuqqyl&amp;st=wowlpqyw&amp;dl=0</t>
  </si>
  <si>
    <t>prompt cũ</t>
  </si>
  <si>
    <t>1. A cinematic timelapse seasonal transition video transforming from a warm summer landscape into a winter scene matching the reference image.
Green vegetation gradually fades, leaves disappear, and the environment cools in color temperature.
Snow slowly appears and accumulates across the ground, rooftops, and trees.
The atmosphere shifts progressively into a cold winter setting like a natural timelapse change of seasons.
The final frame matches the winter reference image.
The camera angle remains completely fixed and stable with no movement.
Lighting transitions smoothly into soft winter daylight.
High realism, seamless transformation, cinematic quality.
2. A cinematic timelapse transformation video transitioning from the original scene into a bright summer version matching the reference image.
The environment gradually shifts from the initial state to a warm summer atmosphere.
Snow or dull seasonal elements fade away while greenery, sunlight, and vibrant summer colors emerge smoothly.
The transition happens progressively like a natural timelapse seasonal change.
The final scene matches the summer reference image.
The camera angle remains completely fixed and stable with no movement.
Lighting evolves naturally into bright summer daylight.
High realism, smooth seamless transition, cinematic quality.</t>
  </si>
  <si>
    <t>THJAN30024</t>
  </si>
  <si>
    <t>https://www.dropbox.com/scl/fo/x0drcbvu61dsa2032wqk7/AA-Jf72ix-RF64dfAOQPV4Y?rlkey=bkoj9g3th4enl8lh4hkm3r1yt&amp;dl=0</t>
  </si>
  <si>
    <t>Please use AI transition in the beginning of the video of the clip zooming out from the house going from winter to summer clip is named "winter to summer".</t>
  </si>
  <si>
    <t>https://www.dropbox.com/scl/fi/li6cwyx0213qj78970i9s/THJAN30024.mp4?rlkey=rkxf9ni3me1g7kd7we7ob8pcj&amp;st=y5nkb37q&amp;dl=0</t>
  </si>
  <si>
    <t>1. Create a landscape timelapse transition from daytime (Image 1) to nighttime (Image 2), strictly based on the two provided input images.
The lighting changes gradually and naturally over time, starting with warm daylight, slowly dimming into soft sunset tones, and finally transitioning into a calm, deep nighttime atmosphere.
The sky shows subtle, realistic cloud movement, moving slowly in a timelapse style as the day turns into night. Cloud motion remains natural and consistent with the original scene, without adding new cloud formations.
The camera fixed angle.
The transition is continuous, seamless, and fluid, with no light flicker, no flashing, no motion blur, and no jitter.
Preserve the exact architecture, composition, colors, and object positions as seen in the input images, including the building, windows, lights, vegetation, and surrounding elements.
Do not add, remove, or invent any new details or objects.
Visual style is cinematic and photorealistic, with clean depth, refined lighting transitions, and a realistic real-world timelapse feel.
3. A realistic cinematic video of a family of three happily playing together inside a children’s playroom. The parents and child are smiling, interacting naturally with toys, laughing and moving gently. The playroom is colorful, safe, and filled with children’s toys and soft decorations. Warm cheerful lighting, lively family atmosphere. Natural body proportions and realistic faces. Subtle natural movements such as hand gestures, head turns, playful interaction, and gentle motion. The camera slowly moves forward toward the family in a smooth cinematic push-in. No shaking, no sudden motion. Stable framing, smooth movement, high realism, natural colors, no flickering, no distortion.
4. Generate a smooth interior transformation video.
Start from Image 1: an empty interior room.
Transition to Image 2: the same room fully furnished.
Camera is completely fixed.
No camera movement.
No zoom.
No shake.
Maintain the exact original camera angle and framing.
All furniture and interior objects appear simultaneously in the exact positions shown in Image 2.
Objects do not fly in from outside.
No object-by-object sequence.
No scaling or warping.
Furniture materializes with a clean, soft fade-in reveal.
Reveal speed is medium — not too fast, not too slow.
Continuous and seamless transformation.
No flicker.
No flashing.
No lighting change.
No extra objects added.
No background changes.
Stable, realistic, high-quality interior reveal.</t>
  </si>
  <si>
    <t>QUJAN29016Rev3</t>
  </si>
  <si>
    <t>https://www.dropbox.com/scl/fo/h4op444z5jxudlwt5nuuj/AKhEeo5_F7aIwT3TWaSx_gQ?rlkey=tqhws8sly0q5eoln39kf2worh&amp;dl=0</t>
  </si>
  <si>
    <t>Thêm 2 AI cho  front yard 
 đầu tiên là hiện trạng hiện tại, sau đó chuyển sang mùa hè, rồi tiếp tục chuyển sang mùa đông có tuyết
Mùa hè thì khách muốn có cảnh tương tự như ảnh sau  
https://drive.google.com/file/d/1qrMk53ZHEZgeVP1eVuawWgTmf1c__4fq/view?usp=sharing "</t>
  </si>
  <si>
    <t>https://www.dropbox.com/scl/fo/4b96e2i17494gut7kvfdn/AK3IxadfemP2EpcTaDx3XBE?rlkey=wlfdjt3edvfd84econrvxcsvc&amp;st=i7dykllx&amp;dl=0</t>
  </si>
  <si>
    <t>https://gemini.google.com/share/5abb754f467b</t>
  </si>
  <si>
    <t>Create a smooth cinematic video using the “General” effect.
The video begins with a winter scene covered in snow.
Snow gradually melts, revealing a warm summer landscape with a visible river.
All motion is gentle, smooth, and natural.
The camera slowly moving out from the scene.
Do not add, remove, or alter any objects other than the seasonal change and the emerging river.
All scene composition remains identical throughout.
No flickering.
No flashing frames.
No visual artifacts.
Overall motion is soft, smooth, stable, and cinematic.
Maintain perfect temporal consistency.</t>
  </si>
  <si>
    <t>MHJAN31002</t>
  </si>
  <si>
    <t>Virtual staging for empty room
ummer season transition x1, 
Virtual Day to Night transition x1</t>
  </si>
  <si>
    <t>https://www.dropbox.com/scl/fo/uts357sz3mhgjan496a9y/AMb6XvFaVfI6FkaNgoWHV2M?rlkey=5sruse6famnwl7y5n7nytf9q6&amp;st=0fcy3iyc&amp;dl=0</t>
  </si>
  <si>
    <t>1. 
2. https://gemini.google.com/share/b41dce9f961d</t>
  </si>
  <si>
    <t>1. prompt cũ</t>
  </si>
  <si>
    <t>1. Create a landscape timelapse transition from daytime (Image 1) to nighttime (Image 2), strictly based on the two provided input images.
The lighting changes gradually and naturally over time, starting with warm daylight, slowly dimming into soft sunset tones, and finally transitioning into a calm, deep nighttime atmosphere.
The sky shows subtle, realistic cloud movement, moving slowly in a timelapse style as the day turns into night. Cloud motion remains natural and consistent with the original scene, without adding new cloud formations.
The camera fixed angle.
The transition is continuous, seamless, and fluid, with no light flicker, no flashing, no motion blur, and no jitter.
Preserve the exact architecture, composition, colors, and object positions as seen in the input images, including the building, windows, lights, vegetation, and surrounding elements.
Do not add, remove, or invent any new details or objects.
Visual style is cinematic and photorealistic, with clean depth, refined lighting transitions, and a realistic real-world timelapse feel.
2. Cinematic FPV drone shot transitioning from daytime to night. The video starts high in the sky during bright daytime (image 1), drone flying from above and slowly descending toward the scene. While descending, the lighting smoothly transitions from day to night. At night, fireworks appear in the sky (image 2), illuminating the environment with colorful reflections. Maintain a seamless transition, realistic lighting change, no camera shake, smooth FPV motion, natural speed, high realism, no extra objects added, focus on atmosphere and fireworks at night.
3,4. The scene opens with a sleek, modern kitchen featuring a minimalist dining table and black chairs, set against large windows revealing a snowy landscape. Suddenly, vibrant, multi-layered ribbons of indigo and silver, resembling living fabric, begin to emerge. They weave around the furniture, slithering and intertwining with a mesmerizing fluidity. As the camera gently pushes in, the ribbons cascade and flow, creating a rich tapestry that envelops the surfaces, accentuating the sleek lines and smooth textures. The ribbons unravel and dissolve in a delicate dance, revealing the furniture unchanged, glistening in the ambient light. The transformation feels like a whisper of an elegant metamorphosis, blending mystery with serene beauty.
5. Generate a realistic image-to-video animation strictly based on the provided input image of the Mona Lisa painting.
Preserve the artwork exactly as in the original image: facial structure, expression, painting texture, brush strokes, colors, lighting, frame, and background remain unchanged.
Do not add, remove, or modify any elements outside the original painting.
The Mona Lisa performs a single, subtle wink using one eye only.
The wink is gentle, slow, and natural, while the rest of her face remains completely still and unchanged.
No other facial movements occur:
no smile change, no mouth movement, no head movement, no eye repositioning.
The camera slowly and smoothly moves forward toward the painting in a stable push-in motion.
The movement is cinematic, steady, and fluid.
No camera shake, no sudden zoom, no angle change.
Lighting and color remain constant throughout the video.
No flickering light, no flashing, no blur, no motion artifacts.
High temporal stability, clean details, no facial distortion, no painterly warping.</t>
  </si>
  <si>
    <t>THJAN31025</t>
  </si>
  <si>
    <t>https://www.dropbox.com/scl/fo/xh2809gr3q0kgl2z0ajrf/AFqYVQbvySKaauCBkS5_Hhs?rlkey=ikawvcnitdmj2fmp709j3ftmf&amp;dl=0</t>
  </si>
  <si>
    <t>Transition từ mùa đông → mùa hè tại đoạn lùi camera
AI effects mùa hè:
Thêm thuyền trên hồ (drone shots)
Thêm người bơi / nhảy từ dock (giống video trước)
Không có footage mùa hè → 100% dùng AI
Có thể thêm các visual effects khác nếu thấy phù hợp để video nổi bật hơn
xuất 4k</t>
  </si>
  <si>
    <t xml:space="preserve">https://www.dropbox.com/scl/fi/b52nu6x7qo67y5q21i093/THJAN31025.mp4?rlkey=m86l9k872mx8go3pv5uldyc1a&amp;st=nkh88umn&amp;dl=0
</t>
  </si>
  <si>
    <t>1. https://gemini.google.com/share/2ccc6d4ff060
https://gemini.google.com/share/977d1022239c
2. https://gemini.google.com/share/599c3b1b58fc
https://gemini.google.com/share/734c9b32ac46</t>
  </si>
  <si>
    <t>viết prompt tạo video từ ảnh bằng higgsfield.ai, hiệu ứng general (kling 2.5), chuyển cảnh từ mùa đông (ảnh 1) sang mùa xuân (ảnh 2), góc quay cố định</t>
  </si>
  <si>
    <t xml:space="preserve">1. Use the two input images as the only visual reference.
Scene transition from winter (image 1) to spring (image 2).
Fixed camera, locked-off shot, no camera movement, no zoom, no pan, no rotation.
Gradual seasonal transformation:
snow slowly melts away, ice disappears naturally,
bare trees gradually grow fresh green leaves,
ground transitions from white snow to green grass,
winter atmosphere slowly warms into soft spring lighting.
Smooth, continuous transition with realistic environmental changes,
natural light progression, soft sunlight emerging,
subtle breeze movement in trees and plants,
cinematic realism, high detail.
No flickering light, no sudden brightness change,
no object deformation, no disappearing elements,
no new objects added, preserve original composition and perspective.
Stable motion, seamless morphing between seasons,
calm, natural, realistic timing.
2. Use the two input images as the only visual reference.
Seasonal transition from winter (image 1) to spring (image 2).
Fixed camera, locked-off shot,
no camera movement, no zoom, no pan, no rotation.
Gradual environmental transformation:
snow slowly melts and disappears naturally,
bare trees gradually grow fresh green leaves,
ground transitions from snow-covered to green grass,
flowers slowly bloom as spring arrives.
Sky and atmosphere animation:
clouds gently drifting across the sky,
winter clouds gradually thinning,
sky color smoothly shifts from cold winter tones
to soft, bright spring blue,
natural, smooth daylight progression.
Spring life emergence:
small butterflies and bees appear gradually only in the spring phase,
butterflies gently flutter around blooming flowers,
bees slowly flying and hovering around flower clusters,
natural flight paths, slow and graceful motion,
correct scale, realistic behavior,
do not cross the camera, stay within the scene.
Smooth, continuous transition,
cinematic realism, high detail,
stable motion, seamless morphing.
Preserve original composition and perspective,
no new major objects added.
</t>
  </si>
  <si>
    <t>THJAN31036</t>
  </si>
  <si>
    <t>https://www.dropbox.com/scl/fo/llhio46qnx1n9c11vlfjg/AIuZMUq2QFd9zNHOw6x18fo?rlkey=bfy250vc9qp3968xwz0853xqm&amp;st=5ccju6zf&amp;dl=0</t>
  </si>
  <si>
    <t>làm 5 hiệu ứng AI:
- ngày sang đêm (từ trái sang phải)
- từ mùa đông sang đêm có pháo hoa (từ dưới lên trên)
- hiệu ứng mona lisa trong bức tranh nháy mắt
- hiệu ứng xuất hiện tua rua như sample (giây 15-17) ở phòng khách và bếp (từ xa đến gần): https://www.instagram.com/reel/DT0q0wSk_O7/</t>
  </si>
  <si>
    <t>https://www.dropbox.com/scl/fo/worivxz5yvwodj50spoc0/ABoDvum2F5xFX9aVoaMqUjw?rlkey=pqj05gf9ndfnwfr1z3xlpnooz&amp;st=v249pe3o&amp;dl=0</t>
  </si>
  <si>
    <t>https://gemini.google.com/share/139471f14f4f</t>
  </si>
  <si>
    <t>viết prompt tạo video từ ảnh bằng higgsfield.ai, hiệu ứng general (kling 2.5), chuyển cảnh từ mùa đông (ảnh 1) sang mùa hè (ảnh 2), hyper-cloud, góc quay drone từ xa tiến lại gần</t>
  </si>
  <si>
    <t xml:space="preserve">Use the two input images as the only visual reference.
Seasonal transition from winter (image 1) to summer (image 2).
Drone camera movement:
smooth cinematic drone push-in from far to near,
slow forward motion with stable altitude,
no rotation, no tilt, no sudden acceleration.
Hyper-cloud sky animation:
dramatic volumetric clouds moving across the sky,
multiple cloud layers with depth and scale,
heavy winter clouds gradually dissolve and thin out,
sky transitions from cold gray-blue winter tones
to bright, clear summer blue with soft white clouds,
high-detail cinematic hyper-cloud atmosphere.
Gradual environmental transformation:
snow slowly melts and fully disappears,
trees and vegetation become dense and lush green,
ground transitions from snow-covered to vibrant summer grass,
summer foliage becomes fuller and richer in color.
Lighting and atmosphere progression:
cold winter lighting gradually warms into bright summer sunlight,
natural daylight transition, smooth exposure,
no flickering light, no abrupt brightness change.
Cinematic realism, ultra high detail,
stable motion, seamless seasonal morphing.
Preserve original scene layout and perspective,
do not add new buildings or major objects.
</t>
  </si>
  <si>
    <t>TAFEB02009</t>
  </si>
  <si>
    <t>https://www.dropbox.com/scl/fo/lkh3s01seeowr3f7dlcg8/AE24UoPiP_m303n_fs2LurQ?rlkey=lavdqm9a93ye9ujya1oate9ua&amp;dl=0</t>
  </si>
  <si>
    <t>Làm AI chuyển cảnh sang mùa đông có tuyết rồi chuyển sang cảnh mùa hè</t>
  </si>
  <si>
    <t>https://www.dropbox.com/scl/fo/mzvy6vshomypyb34b2j6j/APxBCOIjuumteK4A-a1pRgw?rlkey=vfdxoyetszn7pnloqqi1w9bc2&amp;st=4owh5me2&amp;dl=0</t>
  </si>
  <si>
    <t>1. https://gemini.google.com/share/eb698c8c1f97
2. https://gemini.google.com/share/5b3cb712d397</t>
  </si>
  <si>
    <t>1. viết prompt tạo video từ ảnh bằng higgfield.ai, tôi dùng general (kling 2.6), tạo video gia đình 4 người đang dùng bữa trên bàn ăn trong không khí vui vẻ, có tiếng cười nói chân thực, góc quay từ từ tiến lại bàn ăn
2. viết prompt tạo video từ ảnh bằng higgsfield.ai, hiệu ứng general (kling 2.5), chuyển cảnh từ mùa đông (ảnh 1) sang mùa hè (ảnh 2), có chuyển động bầu trời và mây, góc quay cố định</t>
  </si>
  <si>
    <t xml:space="preserve">1. Generate a realistic video strictly based on the input image.
A family of four is sitting together at a dining table, enjoying a meal in a warm, happy family atmosphere.
The father, mother, and two children interact naturally, smiling, talking, and laughing together while eating.
Facial expressions are relaxed and joyful, with subtle head movements, hand gestures, and natural body language.
The camera slowly and smoothly moves forward toward the dining table (slow dolly-in), keeping the family centered in the frame.
Camera movement is stable, continuous, and cinematic, with no shaking or sudden speed changes.
Ambient sound includes soft, realistic family chatter and gentle laughter, natural and not exaggerated.
Maintain original lighting, colors, environment, and composition from the input image.
Do not add or invent any new people, objects, or background elements.
Motion is smooth and realistic throughout the video.
No face distortion, no body deformation, no flickering light, no motion blur, no image softness, no visual artifacts.
High realism, warm mood, consistent visual quality from start to end.
2. Use the two input images as the only visual reference.
Seasonal transition from winter (image 1) to summer (image 2).
Fixed camera, locked-off shot,
no camera movement, no zoom, no pan, no rotation.
Gradual environmental transformation:
snow slowly melts and fully disappears,
trees and vegetation gradually become lush and dense green,
ground transitions from snow-covered to vibrant summer grass,
summer atmosphere emerges naturally and smoothly.
Sky and cloud animation:
clouds slowly drifting across the sky,
consistent cloud movement direction,
heavy winter clouds gradually thin out and dissolve,
sky color smoothly transitions from cold winter gray-blue tones
to bright, clear summer blue with soft white clouds.
Lighting progression:
natural daylight transition from cold winter light
to warm, bright summer sunlight,
smooth exposure change,
no flickering light, no abrupt brightness shifts.
Cinematic realism, high detail,
smooth, continuous motion,
stable frame, seamless seasonal morphing.
Preserve original composition, scale, and perspective,
do not add new objects or alter scene layout.
</t>
  </si>
  <si>
    <t>TLFEB03005</t>
  </si>
  <si>
    <t>https://www.dropbox.com/scl/fo/p1t46isizoddcsssxd7qj/AG9f1hbOk0mxJyTG6Va4pqo?rlkey=x60owoihtu50gs9co2o1ztjlf&amp;st=jnc0r9m9&amp;dl=0</t>
  </si>
  <si>
    <t>AI từ đông sang hè. di chuyển từ xa đến gần
xuất 4k</t>
  </si>
  <si>
    <t>https://www.dropbox.com/scl/fi/5to3wdg4qme0ffwvqiy76/TLFEB03005.mp4?rlkey=ggfiun5qe3b298g4tihw0iqio&amp;st=d4atuzkb&amp;dl=0</t>
  </si>
  <si>
    <t>https://gemini.google.com/share/deb9623586e3</t>
  </si>
  <si>
    <t>viết prompt tạo video từ ảnh bằng higgsfield.ai, hiệu ứng general (kling 2.5), chuyển cảnh từ mùa đông (ảnh 1) sang mùa xuân (ảnh 2), có chuyển động bầu trời và mây, góc quay cố định</t>
  </si>
  <si>
    <t xml:space="preserve">Use the two input images as the only visual reference.
Seasonal transition from winter (image 1) to spring (image 2).
Fixed camera, locked-off shot,
no camera movement, no zoom, no pan, no rotation.
Gradual environmental transformation:
snow slowly melts and disappears naturally,
bare trees gradually grow fresh green leaves,
ground transitions from snow-covered to green grass,
spring atmosphere emerges softly and naturally.
Sky and cloud animation:
clouds gently drifting across the sky,
subtle cloud movement with consistent direction,
winter clouds gradually thin and break apart,
sky color smoothly transitions from cold winter tones
to soft, bright spring blue.
Lighting progression:
natural daylight transition,
soft sunlight emerging,
no sudden brightness change,
no flickering or flashing light.
Cinematic realism, high detail,
smooth, continuous motion,
stable frame, seamless seasonal morphing.
Preserve original composition, scale, and perspective,
do not add new objects or alter scene layout.
</t>
  </si>
  <si>
    <t>QUFEB03009</t>
  </si>
  <si>
    <t>https://www.dropbox.com/scl/fo/oasp0lr80jtxx5wloftih/AHQ05BEg6w2qvjfUGzgY7bA?rlkey=ezh90bho7sbp8b9m49lop4m97&amp;dl=0</t>
  </si>
  <si>
    <t xml:space="preserve">1 AI effect có gia đình đang ngồi ăn ở dining room kèm tiếng cười trò chuyện chân thực. 
1 AI trước nhà biến mùa đông tuyết thành mùa hè cây cỏ xanh , nắng. </t>
  </si>
  <si>
    <t>https://www.dropbox.com/scl/fo/9a6e8xegl1nu33tx0f2ea/AEU9JfFFh_VN74jmfc8LMeM?rlkey=e3yuxgiv6wc5tbf9r02mb0tdh&amp;st=sch9y8qd&amp;dl=0</t>
  </si>
  <si>
    <t>https://gemini.google.com/share/868b2433ce48
https://gemini.google.com/share/7a635b847276</t>
  </si>
  <si>
    <t>viết prompt tạo video từ ảnh bằng higgsfield.ai, hiệu ứng general (kling 2.5), chuyển cảnh từ mùa đông (ảnh 1) sang mùa hè (ảnh 2), có chuyển động bầu trời và mây, góc quay cố định</t>
  </si>
  <si>
    <t xml:space="preserve">Use the two input images as the only visual reference.
Seasonal transition from winter (image 1) to summer (image 2).
Fixed camera, locked-off shot,
no camera movement, no zoom, no pan, no rotation.
Gradual environmental transformation:
snow slowly melts and fully disappears,
trees and vegetation gradually become lush and dense green,
ground transitions from snow-covered to vibrant summer grass,
summer atmosphere emerges naturally and smoothly.
Sky and cloud animation:
clouds slowly drifting across the sky,
consistent cloud movement direction,
heavy winter clouds gradually thin out and dissolve,
sky color smoothly transitions from cold winter gray-blue tones
to bright, clear summer blue with soft white clouds.
Lighting progression:
natural daylight transition from cold winter light
to warm, bright summer sunlight,
smooth exposure change,
no flickering light, no abrupt brightness shifts.
Cinematic realism, high detail,
smooth, continuous motion,
stable frame, seamless seasonal morphing.
Preserve original composition, scale, and perspective,
do not add new objects or alter scene layout.
</t>
  </si>
  <si>
    <t>TAFEB02009Rev</t>
  </si>
  <si>
    <t>Làm AI mùa đông sang mùa đông như ban đầu. Kích thước của các bông hoa AI đang quá to và phi thực tế. Điều chỉnh lại để hoa tự nhiên và có size đúng thực tế.</t>
  </si>
  <si>
    <t>https://www.dropbox.com/scl/fi/lir0kyo9cqvqnj0plf8y7/TAFEB02009Rev.mp4?rlkey=mhzk6mt58nda26hb6c65r1a70&amp;st=pfqtqcwr&amp;dl=0</t>
  </si>
  <si>
    <t xml:space="preserve">https://gemini.google.com/share/ea00dbf24a52 
https://gemini.google.com/share/52610ff7767b 
https://gemini.google.com/share/9e669b13e89e 
https://gemini.google.com/share/3eec6eda46d1 </t>
  </si>
  <si>
    <t>1. viết prompt tạo video từ ảnh bằng envato, chuyển cảnh timelap từ mùa đông sang mùa xuân, có chuyển động mây, bầu trời trôi phải thật mượt mà, góc quay cố định
2. viết prompt tạo video từ ảnh bằng envato, chuyển cảnh timelap từ mùa đông sang mùa xuân, góc quay cố định</t>
  </si>
  <si>
    <t>1. 
Create a cinematic timelapse video strictly based on the input image.
The scene transitions gradually and naturally from winter to spring over time.
Snow slowly melts and disappears, bare trees and dry vegetation begin to sprout fresh green leaves and grass, symbolizing early spring.
The sky and clouds move smoothly and continuously, with gentle cloud drift and soft sky motion throughout the timelapse.
The camera remains completely fixed and locked-off, no camera movement, no zoom, no pan, no tilt.
Lighting changes slowly and realistically from cold winter light to soft, warm spring daylight.
The transition must be seamless, fluid, and continuous, without any sudden changes.
No flickering, no shaking, no motion blur, no ghosting, no distortion, no object deformation.
High realism, smooth timelapse motion, cinematic quality.
2. 
Create a cinematic timelapse video strictly based on the input image.
The scene gradually transitions from winter to spring over time.
Snow slowly melts and disappears, bare trees and winter vegetation begin to turn green with fresh spring growth.
The camera remains completely fixed and locked-off, with no camera movement.
Lighting changes smoothly and naturally from cold winter tones to soft, warm spring light.
The transition is continuous, seamless, and fluid, without sudden changes.
No zoom, no pan, no tilt, no shaking.
No flickering, no lighting jumps, no blur, no distortion.
High realism, smooth timelapse motion, cinematic quality.</t>
  </si>
  <si>
    <t>LIFEB03014</t>
  </si>
  <si>
    <t>https://www.dropbox.com/scl/fo/xygrvy4cepbara1v9ex8d/AE1Zc0YYV6Co7mX9m40iOmI?rlkey=xpb5bsks4e11oqksb9gomzdxo&amp;st=c1jxg588&amp;dl=0</t>
  </si>
  <si>
    <t>AI chuyển từ mùa đông sang hè
ren 4k giúp em</t>
  </si>
  <si>
    <t>https://www.dropbox.com/scl/fi/0ee7xhknmj1x0pjqaj4ii/LIFEB03014.mp4?rlkey=o884kzgjekfrhn6d7ss760z0r&amp;st=vmj0ck46&amp;dl=0</t>
  </si>
  <si>
    <t>https://gemini.google.com/share/5df270538f83  
https://gemini.google.com/share/468dc87a8b58  
https://gemini.google.com/share/af6615f0ef91 
https://gemini.google.com/share/fafcf1691d61 
hig: 
viết promt để generate ảnh thành video trên higgsfield.ai, hãy tạo hình ảnh ban ngày mùa hè có ánh nắng chói chang hơn nữa, giữ nguyên ánh sáng gốc của ảnh, tuyệt đối không thay đổi bố cục của ảnh, giữ nguyên thiết kế và cấu trúc của ngôi nhà và bầu trời</t>
  </si>
  <si>
    <t>1. viết prompt tạo video từ ảnh bằng envato, chuyển cảnh timelap từ mùa đông sang mùa xuân, góc quay cố định
2. viết prompt tạo video từ ảnh bằng envato, chuyển cảnh timelap từ ban ngày sang ban đêm, nhà lên đèn, có chuyển động mây, bầu trời trôi phải thật mượt mà, góc quay cố định
3. nấu nă: 
viết prompt tạo video từ ảnh bằng higgfield.ai, tôi dùng general (kling 2.6), tạo hình ảnh một gia đinh đang nấu ăn cùng nhau, mẹ nhào bột, con trai nặn bột, người nố nặn bánh, con gái phụ người bố, góc quay cố định
4. xem tivi:
viết prompt tạo video từ ảnh bằng higgfield.ai, tôi dùng general (kling 2.6), tạo hình ảnh một gia đinh đang xem và tivi và nói chuyện cùng nhau, góc quay cố định</t>
  </si>
  <si>
    <t>1. đông sang hè: 
Create a cinematic timelapse video based strictly on the input image.
The scene transitions smoothly from winter to summer over time.
Snow gradually melts and disappears, winter tones fade out while lush green vegetation and warm summer colors slowly appear.
The sky and clouds move continuously and naturally, with smooth cloud drift and subtle sky changes throughout the timelapse.
The camera remains completely fixed and locked, no camera movement, no zoom, no pan, no tilt.
Lighting transitions gradually and realistically from cold winter light to warm summer daylight.
The transition must be continuous, seamless, and fluid, with no sudden changes.
No flickering, no shaking, no motion blur, no ghosting, no distortion.
High realism, smooth timelapse motion, cinematic quality.
2. ngày sang đêm: 
Create a cinematic timelapse video strictly based on the input image.
The scene gradually transitions from daytime to nighttime over time.
Daylight slowly fades into dusk and then night, while the house lights turn on naturally and progressively, creating a warm and inviting glow.
The sky and clouds move smoothly and continuously, with gentle cloud drift and seamless sky motion throughout the timelapse.
The camera remains completely fixed and locked-off, with no camera movement — no zoom, no pan, no tilt.
Lighting changes gradually and realistically, avoiding any sudden shifts or jumps.
The transition must be fluid, continuous, and seamless.
No flickering, no shaking, no motion blur, no ghosting, no distortion, no object deformation.
High realism, smooth timelapse motion, cinematic quality.
3. gia đình xem tivi:
Create a cinematic video based on the input image using General (Kling 2.6).
Scene description:
A family is sitting together watching TV and talking with each other in a warm, cozy living room.
Their movements are natural and relaxed: subtle head turns, hand gestures, smiling, light conversation.
Facial &amp; body motion:
Realistic facial expressions, natural lip movement while talking.
No exaggerated gestures, no frozen poses, no sudden movement.
Camera:
Fixed camera position, locked-off shot.
No pan, no tilt, no zoom, no dolly movement.
Visual consistency:
Preserve the original composition, perspective, and scale of the input image.
Maintain consistent lighting, shadows, and color tones throughout the video.
Quality:
Cinematic realism, smooth continuous animation.
Single seamless shot, no cuts, no flicker, no blur, no shaking.
4. gia đình nấu ăn
 Create a cinematic video based on the input image using General (Kling 2.6).
Scene description:
A family is cooking and baking together in the kitchen, working as a team in a warm, joyful atmosphere.
The mother is kneading dough on the table with natural hand movements.
The son is shaping dough into small pieces beside her, focused and engaged.
The father is forming bread, carefully shaping dough with both hands.
The daughter is helping the father, passing dough and assisting gently.
All actions are realistic, slow, and continuous, no sudden movement, no frozen poses.
Facial &amp; body motion:
Natural facial expressions, light smiles, subtle head turns while talking together.
Accurate hand interaction with dough, no extra fingers, no hand deformation.
Camera:
Fixed camera position (locked-off shot).
No pan, no tilt, no zoom, no dolly movement.
Visual consistency:
Preserve the original kitchen layout, composition, and perspective of the input image.
Lighting, shadows, and color tones remain consistent throughout the video.
Quality:
Cinematic realism, smooth animation, clean details.
Single seamless shot, no cuts, no flicker, no blur, no shaking.</t>
  </si>
  <si>
    <t>QUFEB03012</t>
  </si>
  <si>
    <t>1–2 hiệu ứng AI Timelapse chuyển mùa từ đông sang xuân cho ảnh mặt trước căn nhà (front photo) và ảnh top-down.</t>
  </si>
  <si>
    <t>https://www.dropbox.com/scl/fo/9uhels1utrqeszvmlz8sm/AC2o787SPNQAN3IJR3XnMU4?rlkey=4e31gnlosdthttww5x8q8z8zi&amp;st=rmthtkd7&amp;dl=0</t>
  </si>
  <si>
    <t xml:space="preserve">https://gemini.google.com/share/5fff20968b10  
https://gemini.google.com/share/c9673838dc75
https://gemini.google.com/share/eaf0711a444e </t>
  </si>
  <si>
    <t>1. viết prompt tạo video từ ảnh bằng higgfield.ai, tôi dùng general (kling 2.6), tạo hình ảnh trên con sông có thuyền chạy, tất cả các con thuyền trên sông đều di chuyển, góc quay cố định
2. viết prompt tạo video từ ảnh bằng higgfield.ai, tôi dùng general (kling 2.6), tạo hình ảnh mọi người đang bơi lội và chơi đùa ở dưới sông, góc quay cố định
3. viết prompt tạo video từ ảnh bằng envato, chuyển cảnh từ mùa đông sang mùa hè có thuyền đang chạy, có chuyển động mây, bầu trời trôi phải thật mượt mà, thuyền xuất hiện như đã ở đấy từ trước, góc quay cố định</t>
  </si>
  <si>
    <t>1. Create a cinematic video based on the input image using General (Kling 2.6).
Scene description:
On the river, all boats visible in the scene are moving simultaneously.
Each boat travels smoothly along the water surface in a natural direction, with slightly varied speeds to look realistic.
No boat remains static.
Water &amp; motion:
Realistic river flow with gentle ripples.
Each moving boat creates a soft wake trail and water disturbance behind it.
Water reflections and highlights remain stable and natural.
Camera:
Fixed camera position (locked-off shot).
No pan, no tilt, no zoom, no dolly movement.
Visual consistency:
Preserve the original composition, perspective, and scale of the input image.
Lighting, shadows, and colors remain consistent throughout the video.
Quality:
Cinematic realism, smooth continuous animation.
Single seamless shot, no cuts, no flicker, no blur, no shaking.
2. Create a cinematic video based on the input image using General (Kling 2.6).
Scene description:
People are swimming and playing together in the river, laughing, splashing water, relaxed and joyful atmosphere.
Movements are natural, human-like, and continuous, no frozen poses.
Water &amp; environment:
Realistic river water flow, gentle ripples and splashes caused by movement.
Reflections and light interaction on the water surface look natural and stable.
Camera:
Fixed camera position, locked-off shot.
No camera movement, no zoom, no pan, no tilt.
Visual consistency:
Preserve the original composition, perspective, and environment of the input image.
Lighting, shadows, and colors remain consistent throughout the video.
Quality:
Cinematic realism, smooth animation, clean details.
Continuous single shot, seamless motion, no flicker, no blur, no shaking.
3. Create a cinematic timelapse video strictly based on the input image.
The scene gradually and seamlessly transitions from winter to summer over time.
Snow slowly melts and disappears, winter colors fade out while lush green vegetation and warm summer tones gradually appear.
A boat is already present in the scene from the beginning and continues moving naturally on the water throughout the timelapse, maintaining consistent scale, position, and direction.
The boat movement must feel continuous and realistic, as if it has been there all along — no sudden appearance, no popping in.
The sky and clouds move smoothly and continuously, with gentle cloud drift and fluid sky motion during the entire transition.
The camera remains completely fixed and locked-off, with no camera movement — no zoom, no pan, no tilt.
Lighting transitions slowly and realistically from cold winter light to bright, warm summer daylight.
The transition must be continuous, seamless, and natural, without any sudden changes.
No flickering, no shaking, no motion blur, no ghosting, no distortion, no object deformation.
High realism, smooth timelapse motion, cinematic quality.</t>
  </si>
  <si>
    <t>THFEB03009</t>
  </si>
  <si>
    <t>https://www.dropbox.com/scl/fo/u6jducu2te4u3oltt4b3m/AHhQ7e13D76L1UXp6e1UGjk?rlkey=os93j41eeeoy6a3urel5gdqpv&amp;dl=0</t>
  </si>
  <si>
    <t>with a family in the kitchen and living room in AI family too (Higgsfield.ai), 
I would also want transitions from winter to summer (Take summer photos), day to twilight too
sample: 
- mùa hè ( ảnh trong input)
- AI gia đình: https://www.dropbox.com/scl/fi/0c4oesk7ic1ybq6y4fj6b/5900-Cypress-Hollow-Way-Reel-rev.mp4?rlkey=xifpyrzleo0cjnmbp8guiigoa&amp;st=n9l0riho&amp;dl=0
xuất 4k</t>
  </si>
  <si>
    <t>https://www.dropbox.com/scl/fo/0bul86dbt7spk0fga79v2/APst1CsNLCm_Ca23ubzMQM8?rlkey=081yniipjux6fkbzqkwljepgt&amp;st=baea7ioh&amp;dl=0</t>
  </si>
  <si>
    <t>https://gemini.google.com/share/a5aec22c4f19</t>
  </si>
  <si>
    <t>viết prompt tạo video từ ảnh bằng envato, chuyển cảnh timelap từ mùa đông sang mùa xuân, góc quay cố định</t>
  </si>
  <si>
    <t>Create a cinematic timelapse video strictly based on the input image.
The scene gradually transitions from winter to spring over time.
Snow slowly melts and disappears, bare trees and winter vegetation begin to turn green with fresh spring growth.
The camera remains completely fixed and locked-off, with no camera movement.
Lighting changes smoothly and naturally from cold winter tones to soft, warm spring light.
The transition is continuous, seamless, and fluid, without sudden changes.
No zoom, no pan, no tilt, no shaking.
No flickering, no lighting jumps, no blur, no distortion.
High realism, smooth timelapse motion, cinematic quality.</t>
  </si>
  <si>
    <t>THJAN31025Rev</t>
  </si>
  <si>
    <t>https://www.dropbox.com/scl/fo/xh2809gr3q0kgl2z0ajrf/AFqYVQbvySKaauCBkS5_Hhs?rlkey=qkw3s97z1lqqeqxtce77xn384&amp;st=uzrs1lua&amp;dl=0</t>
  </si>
  <si>
    <t>chuyển sang mùa hè như đã làm nhưng thêm người đang vui chơi nhảy xuống sông bơi lội, còn cảnh trên cao thì chuyển sang hè thêm tàu thuyền đang di chuyển vào</t>
  </si>
  <si>
    <t>https://www.dropbox.com/scl/fo/yurtxpi0kduw92f5ayqb8/AJo2XIRcKS3zBPkPi9qo8Xw?rlkey=pons2n8ffjpp8prnqgg75corl&amp;st=1rjisq07&amp;dl=0</t>
  </si>
  <si>
    <t>https://gemini.google.com/share/19fc32417068</t>
  </si>
  <si>
    <t>viết prompt tạo video từ ảnh bằng higgsfield.ai, hiệu ứng general (kling 2.5), chuyển cảnh từ mùa đông (ảnh 1) sang mùa hè (ảnh 2), có chuyển động bầu trời và mây, máy quay fpv từ góc cao ngang với nhà bay lên góc từ trên đỉnh nhà chiếu xuống</t>
  </si>
  <si>
    <t xml:space="preserve">Use the two input images as the only visual reference.
Seasonal transition from winter (image 1) to summer (image 2).
FPV drone camera movement:
FPV drone starting at a high position,
camera level horizontally aligned with the house,
smooth vertical ascent upward,
drone flies above the roof and transitions into a top-down view,
camera gradually tilts downward to look straight onto the rooftop and ground,
smooth, controlled FPV motion,
no sudden acceleration, no rotation spin, no shake.
Sky and cloud animation:
clouds moving naturally across the sky,
consistent cloud direction and speed,
winter sky with heavy gray clouds gradually transitioning
to clear summer blue sky with soft white clouds,
realistic atmospheric depth.
Gradual environmental transformation:
snow slowly melts and disappears,
trees and vegetation become dense and lush green,
ground transitions from snow-covered to vibrant summer grass,
summer atmosphere fully established by the end.
Lighting progression:
cold winter lighting gradually warms into bright summer sunlight,
smooth exposure and color temperature transition,
no flickering light, no abrupt brightness changes.
Cinematic realism, high detail,
smooth, continuous motion,
stable frame, seamless seasonal morphing.
Preserve original scene structure, scale, and layout,
do not add new buildings or major objects.
</t>
  </si>
  <si>
    <t>TAFEB03014</t>
  </si>
  <si>
    <t>https://www.dropbox.com/t/7PKXJcTHacdFPXAm</t>
  </si>
  <si>
    <t>tạo hiệu ứng chuyển từ mùa đông sang mùa xuân</t>
  </si>
  <si>
    <t>https://www.dropbox.com/scl/fi/71a8ufv2ue1uygm76pd1z/TAFEB03014.mp4?rlkey=nxyth4uirayvx3367s4wvhh0a&amp;st=2kf4h2a1&amp;dl=0</t>
  </si>
  <si>
    <t>NGFEB04005</t>
  </si>
  <si>
    <t>https://www.dropbox.com/scl/fo/2dtlai4wbuuxfi0u6w5ii/AMAwjL7AhWYNTmzn2P3uLBs?rlkey=2lmrjvdjyhnxk8mf54ywm3k3j&amp;dl=0</t>
  </si>
  <si>
    <t>The only effect I hope you can do is possibly take one of the drone shots that show the yard and transform it to summer time.</t>
  </si>
  <si>
    <t>https://www.dropbox.com/scl/fi/mojexh0ty2s8c6rh8lh0b/NGFEB04005.mp4?rlkey=hwprhordrj8t5v6uqdfp2l0lo&amp;st=jd1xs3x8&amp;dl=0</t>
  </si>
  <si>
    <t>Thêm người</t>
  </si>
  <si>
    <t>THJAN28018Rev</t>
  </si>
  <si>
    <t>https://www.dropbox.com/scl/fo/ytsc4z4hbsfiya34qdyoq/AMGYDaslJrbneN4VXjFpof0?rlkey=i4pbtdi62oj5nxshhcghky3c7&amp;st=qd9ty9xj&amp;dl=0</t>
  </si>
  <si>
    <t>xuất hiện người nhảy xuống từ chỗ neo thuyền như sample: https://www.youtube.com/shorts/gqrum025xCE
xuất 4K</t>
  </si>
  <si>
    <t>https://www.dropbox.com/scl/fi/vmwgu42thcddugjnax35z/THJAN28018Rev.mp4?rlkey=34xnn2nkue3u9bvf6ctojzqm4&amp;st=nyi7zjkj&amp;dl=0</t>
  </si>
  <si>
    <t>QUJAN28010Rev3</t>
  </si>
  <si>
    <t xml:space="preserve">https://www.dropbox.com/scl/fi/1ul9to46udy12ms3u1pj6/video-2.png?rlkey=i26tuzf0hgj4lvfxo2wp5bps3&amp;dl=0
</t>
  </si>
  <si>
    <t>1AI thể hiện mọi người đang tổ chức một bữa tiệc, khu vực sân sau đông người, trong một cảnh drone quay sân sau"</t>
  </si>
  <si>
    <t>https://www.dropbox.com/scl/fi/37id4z48oiflema597wha/QUJAN28010Rev3.mp4?rlkey=d54thhy1zl04b6wr7uno46ctw&amp;st=tfgjvwmq&amp;dl=0</t>
  </si>
  <si>
    <t>https://gemini.google.com/share/0d6187c82b25</t>
  </si>
  <si>
    <t>viết prompt tạo video từ ảnh bằng higgfield.ai, tôi dùng general của kling, tạo video từ hình ảnh sân sau mọi người đang tổ chức một bữa tiệc, góc quay cố định</t>
  </si>
  <si>
    <t>Create a video from the input image of a backyard where people are hosting a party. Preserve the original layout, architecture, number of people, and all existing elements from the input image, with no fictional or added details. Use a fixed camera angle with a completely static camera. Add only subtle, natural motion: people gently talking, small hand gestures, slight head movements, smiling; clothing and hair moving softly in the breeze; decorative lights glowing subtly. Lighting remains stable and natural, colors are realistic. Motion should be smooth and continuous, with no camera movement, no shaking, no flickering, no blur, and no distortion of faces or bodies.</t>
  </si>
  <si>
    <t>QUJAN29016Rev</t>
  </si>
  <si>
    <t>https://www.dropbox.com/scl/fo/uv1efnldl7cc5v19sqc57/ADXVTdsKMEz126hR1amOg4s?rlkey=bg8al8u54b6xpd7l7dyq13pny&amp;dl=0</t>
  </si>
  <si>
    <t>order 1 AI  :  night transition in the backyard with string lights and fire pit with family</t>
  </si>
  <si>
    <t>https://www.dropbox.com/scl/fi/b6c0wdz54cflzvsu60kra/QUJAN29016Rev.mp4?rlkey=dlyfvkknpgh4y902j5f8co3rm&amp;st=0qmfhh8t&amp;dl=0</t>
  </si>
  <si>
    <t>viết promt để generate ảnh thành video trên higgsfield.ai, hãy tạo hình ảnh sân sau bàn ngày thành ban đêm, nhà lên đèn, đèn dây, có một gia đình gồm 4 người và có hố lửa, tuyệt đối không thay đổi bố cục của ảnh, giữ nguyên thiết kế và cấu trúc của căn nhà</t>
  </si>
  <si>
    <t>viết prompt tạo video từ ảnh bằng envato, chuyển cảnh timelapse landscape ban ngày (ảnh 1) dần dần chuyển sang ban đêm (ảnh 2), khi sang ban đêm có gia đình đang ngồi ở hố lửa nói chuyện với nhau, có chuyển động mây, bầu trời chuyển động phải thật mượt mà, góc quay từ gần lùi ra xa</t>
  </si>
  <si>
    <t xml:space="preserve">Timelapse landscape transition based strictly on the two input images.
Start from Image 1: daytime exterior of the house.
Gradually transition into Image 2: nighttime exterior of the same house.
Smooth day-to-night timelapse:
– Natural lighting changes from daylight to dusk and then full night
– Realistic sky color shift, sunset to deep night
– Smooth, continuous cloud movement across the sky
– No sudden lighting jumps, no flickering
As night falls:
– Decorative string lights gradually appear and turn on naturally around the house
– A fire pit slowly appears in the yard with realistic fire animation
– A small group of people gradually appear sitting and standing around the fire pit, subtle natural movements only (talking, slight gestures)
Camera movement:
– Camera slowly moves from near to far (zooming out)
– Stable, cinematic motion, fixed direction
– No shaking, no abrupt camera changes
Environment &amp; realism:
– Maintain original house design, structure, proportions, and layout
– All added elements (lights, fire pit, people) must integrate naturally into the scene
– Photorealistic lighting, shadows, and reflections
– High temporal consistency, smooth transitions, cinematic quality
</t>
  </si>
  <si>
    <t>QUJAN29016Rev2</t>
  </si>
  <si>
    <t>Ai làm thêm cho 2 đứa kia cái ghế đi ạ để nó ngồi dất thế</t>
  </si>
  <si>
    <t>https://www.dropbox.com/scl/fi/dt8lu8njj9qi371kmh0c9/QUJAN29016Rev2.mp4?rlkey=g8jz2zwbp12i9oqotrkw46esq&amp;st=w5rk2lo6&amp;dl=0</t>
  </si>
  <si>
    <t>https://gemini.google.com/share/2e434264a5e4</t>
  </si>
  <si>
    <t>LIJAN30013Rev</t>
  </si>
  <si>
    <t>https://www.dropbox.com/scl/fo/qq2cx3upa7u9w3btcb76f/AAEewrA3pCnrKoOTA8eK3ek?rlkey=q3ldpo0fm5718sg9haxkv7rsl&amp;dl=0</t>
  </si>
  <si>
    <t xml:space="preserve">làm AI như tên folder mình để nhé, ý khách muốn là như này: 
----- We want to incorporate AI into this one; follow example on your Instagram here: https://www.instagram.com/p/DRcyfftkwao/  and here: https://www.instagram.com/p/DRqpdy4kfeG/ 
- 4 or 5 AI scenes please
- When the voiceover says “summer weekends/kids in the pool” we want to show kids in the pool
- When voiceover says “friends in the backyard” then AI of people entertaining/gathering in backyard
- Kitchen designed for cooking + connection; more AI of kitchen being used (could be kids at the island, mom cooking, a gathering
- Seasons change/holidays/movie nights; would love to see more AI of family room decorated for Christmas, or family at the table for dinner or family gathering somehow for a movie night
</t>
  </si>
  <si>
    <t>https://www.dropbox.com/scl/fo/iq76u7dogtly2m91f6wt4/AJjkYn_qJdyvqqooU5icNgw?rlkey=kj547az8ygv70ghinom1qqq3j&amp;st=lyk3671h&amp;dl=0</t>
  </si>
  <si>
    <t>khách,bếp: prompt cũ</t>
  </si>
  <si>
    <t>khách: A realistic cinematic video of a married couple sitting together on a sofa in a modern living room, watching TV. The husband and wife are seated side by side in a relaxed posture, facing the television. Soft indoor lighting, warm and cozy atmosphere, natural body proportions, realistic faces. Subtle natural movements such as slight head turns, blinking, gentle breathing. The TV emits soft light reflecting on their faces. The living room looks clean and well-furnished, no extra objects added. Camera is fixed, no camera movement, no zoom, no shake. Stable framing, smooth motion, high realism, natural colors, no flicker, no distortion.
bếp: A realistic cinematic video of a family of four spending time together in a kitchen. The family includes two parents and two children, interacting naturally during daily kitchen activities such as preparing food, talking, and light movements. Warm indoor lighting, cozy and lively atmosphere. The kitchen is clean, modern, and well-organized, with realistic household details. Natural facial expressions, accurate body proportions, no face distortion. Subtle movements like hand gestures, head turns, blinking, and gentle walking. Camera is fixed, no camera movement, no zoom, no shake. Stable framing, smooth motion, high realism, natural colors, no flickering.
bể bơi: A realistic cinematic video of a peaceful outdoor pool scene.
Several children are happily playing in a swimming pool, splashing water and laughing naturally.
On the poolside, two adults are standing and having a casual conversation.
Nearby, two other adults are relaxing on lounge chairs, sunbathing calmly in a natural, family-friendly atmosphere.
All movements are gentle and realistic, with natural human behavior and proportions.
The environment feels warm, bright, and relaxed, like a vacation day.
The camera remains stable with a soft cinematic motion, smooth and slow, no shaking.
Lighting stays consistent, bright daylight, high realism.</t>
  </si>
  <si>
    <t>NHJAN30018Rev</t>
  </si>
  <si>
    <t>https://www.dropbox.com/scl/fo/ntvw8ci1qwzbpfcdl7vdp/AAtONorT_5srl7LMqbpeVIc?rlkey=eziw3ilx3vnyh0f991t775bf2&amp;dl=0</t>
  </si>
  <si>
    <t>làm cho nó giống như ảnh ở input (cho người xuất hiện ngồi ra như ảnh samp)</t>
  </si>
  <si>
    <t>https://www.dropbox.com/scl/fi/r8dnjtqsli5ndu8grhb7z/NHJAN30018Rev.mp4?rlkey=uyx7qjx95k5bgdtlccg5srm3m&amp;st=2vtkrzz7&amp;dl=0</t>
  </si>
  <si>
    <t>A realistic cinematic video starting from an empty indoor auditorium room with no people.
As the video progresses, a full audience gradually appears and fills the seats simultaneously, as if materializing naturally into the space.
The transformation is smooth, seamless, and realistic, with no flickering or sudden pop-in.
The camera starts close to the front seating area and slowly pulls back, revealing more of the room and the growing audience over time.
Camera movement is slow, stable, and smooth, no shaking, no zoom jumps.
Lighting remains consistent throughout the scene.
High realism, natural human proportions, natural sitting poses, cinematic atmosphere.</t>
  </si>
  <si>
    <t>THJAN08032Rev5</t>
  </si>
  <si>
    <t>https://www.dropbox.com/scl/fo/kdhwsxjs2fonm1f9at2wx/AL90B05BuwiJaYvfjcK1Y7I?rlkey=8wkr8w9bhml89guto8mn51407&amp;st=j88xjnlz&amp;dl=0</t>
  </si>
  <si>
    <t>xuất hiện người (cho xuất hiện luôn, chứ đừng xuất hiện từ từ ạ)
- AI 1: Lets add three people here. Late 20's - Early 30s. 1 Black Male, 1 Asian and Hispanic Female. Someone sitting at the island, 1 behind the island and the other doing what you feel looks best.
- AI 2 (TỪ TRONG RA NGOÀI): Lets add 2 people in the meeting room, late 30s - early 40s. One white male and one black male, interacting with each other while working on laptops. Outside on the first work area, a female on a laptop with headphones.
- AI 3: add a mid 20s asian male using the bench press
- AI 4: Add a ealy 30s white girl washing her dog in the pet wash. I want her on the left side of the pet wash area so we can see her and the dog best. 
- AI 5 (TỪ XA ĐẾN GẦN): Can we add a 30s aged couple with there 2 kids playing in the pool.
xuất 4K</t>
  </si>
  <si>
    <t>https://www.dropbox.com/scl/fo/kyxjoflaus70rpgpf2l7z/APmnVcEpAvlMO1ilHaumsos?rlkey=w5o87eqjxkgk31u6m28l9narg&amp;st=fsadgxhc&amp;dl=0</t>
  </si>
  <si>
    <t xml:space="preserve">1. https://gemini.google.com/share/937e30126fa2
2. https://gemini.google.com/share/af2174b43582
https://gemini.google.com/share/bbf8972f1b6d
3. https://gemini.google.com/share/a670fcda4870
4. https://gemini.google.com/share/69739c50ec3b
5.  https://gemini.google.com/share/bbf8972f1b6d
</t>
  </si>
  <si>
    <t xml:space="preserve">1. Generate a realistic image-to-video animation strictly based on the provided input image.
Preserve the kitchen layout, furniture, appliances, background, lighting, colors, people, clothing, facial features, body proportions, and spatial positions exactly as shown in the input image.
Do not add, remove, or alter any objects or people.
Three people are naturally interacting inside the kitchen in a warm, joyful family atmosphere.
Their movements are subtle and realistic: light conversation, gentle head nods, small hand gestures, natural breathing, relaxed body posture.
All human motion must remain realistic and stable, with correct anatomy and consistent facial features throughout the video.
No deformation of faces, hands, or bodies.
The camera slowly and smoothly moves forward toward the three people in a steady push-in motion.
The camera remains stable with no shaking, no sudden zoom, and no change in camera angle.
Maintain consistent lighting, sharp focus, and image clarity.
No flickering lights, no blur, no motion artifacts.
2 trong. Generate a realistic image-to-video animation strictly based on the provided input image.
Preserve the meeting room layout, furniture, lighting, people, clothing, faces, body proportions, and all spatial positions exactly as shown in the input image.
Do not add, remove, or modify any objects or people.
Two people are seated in a meeting room, having a calm and professional discussion.
Their movements are natural and subtle:
light head nods, small hand gestures, natural breathing, occasional eye contact.
Facial expressions remain realistic and professional.
The camera slowly and steadily moves forward toward the two people in a smooth push-in motion.
The camera remains perfectly stable with no shaking, no sudden zoom, and no angle change.
The video maintains consistent lighting, sharp focus, and clean details throughout.
No flickering light, no blur, no motion artifacts, no face distortion, no body deformation.
Cinematic realism, smooth temporal consistency, high visual stability.
2 ngoài. Generate a realistic image-to-video animation strictly based on the provided input image.
Preserve the meeting room, glass walls, background space, furniture, lighting, people, clothing, facial features, body proportions, and spatial positions exactly as shown in the input image.
Do not add, remove, or alter any objects, people, or architectural elements.
Inside the meeting room, two people are seated and having a calm, professional discussion.
Their movements are natural and minimal: gentle head nods, subtle hand gestures, natural breathing, realistic eye movement.
Outside the meeting room, a woman is seated and working on a laptop.
Her motion is subtle and realistic: light typing, small posture adjustments, natural breathing.
All human movements must remain realistic, stable, and proportional with no distortion.
Faces, hands, and bodies must remain intact and consistent throughout the video.
The camera slowly and smoothly moves forward toward the entire scene in a steady push-in motion.
The camera remains perfectly stable with no shaking, no sudden zoom, and no angle changes.
Maintain consistent lighting, sharp focus, and visual clarity.
No flickering light, no blur, no motion artifacts, no face or hand deformation.
5. Generate a realistic image-to-video animation strictly based on the provided input image.
Preserve all people, faces, body proportions, clothing, environment, pool structure, and background exactly as shown in the original image.
Do not add, remove, or alter any elements beyond the input image.
A family of four (father, mother, and two children) are wearing appropriate swimwear and enjoying a joyful, wholesome moment together in the swimming pool.
They gently splash water, laugh, and play together in a natural, family-friendly way.
All movements are subtle, realistic, and smooth:
natural arm gestures, light water splashes, relaxed body motion, happy but calm expressions.
The camera slowly and steadily moves forward toward the family in a smooth push-in motion.
The camera remains stable with no shake, no sudden zoom, and no angle changes.
Lighting, colors, and reflections remain consistent throughout the video.
No flickering light, no blur, no motion artifacts, no facial distortion.
High temporal stability, realistic water movement, clean details, and cinematic smoothness.
</t>
  </si>
  <si>
    <t>QUJAN31013</t>
  </si>
  <si>
    <t>https://www.dropbox.com/scl/fo/kl70xv0360iv56avbcabx/ACsRJri-cEClO33Q_r5I7YA?rlkey=5u9ufhc1s4w01h6td4cy0k350&amp;dl=0</t>
  </si>
  <si>
    <t>1AI day to night timelapse 
1 AIvirtual staging nội thất và thêm một gia đình đang ngồi xem phim hoặc cùng nhau làm một hoạt động vui vẻ để tạo cảm giác ấm cúng. 
1AI khu hồ bơi trong nhà, đổ đầy nước và thêm người đang bơi , party ngoai troi để không gian trông sống động hơn.</t>
  </si>
  <si>
    <t>https://www.dropbox.com/scl/fo/r015dgl4lxom9yvc5avx2/AIOQpLMDwNsr_6F2mZgK7jU?rlkey=9qoo6am4hjrjp160abso5mz7s&amp;st=wzed45zq&amp;dl=0</t>
  </si>
  <si>
    <t>CAFEB02005</t>
  </si>
  <si>
    <t>https://www.dropbox.com/scl/fo/jgr9r329fum2iblaaoota/AIp3vt2RaqN7kALwXGIiZnw?rlkey=pbioaa3re44mo3yg4rtpi8vem&amp;dl=0</t>
  </si>
  <si>
    <t>ai xuất hiện gia đình nấu ăn 
xuất 4k</t>
  </si>
  <si>
    <t>https://www.dropbox.com/scl/fi/dttghjjyju39fhvkqm9ju/CAFEB02005-1.mp4?rlkey=kwv3yk55dxvv7ikgcm4cb2jq6&amp;st=59zfuv3n&amp;dl=0</t>
  </si>
  <si>
    <t>https://gemini.google.com/share/302628a6bdd0</t>
  </si>
  <si>
    <t>viết prompt tạo video từ ảnh bằng higgsfield.ai, tạo hình ảnh một gia đình đang nấu ăn trong căn phòng bếp, người mẹ đang nấu canh, người bố đang hướng dẫn con trai thái rau, người còn gái đang hỗ trợ mẹ rửa đồ, hành động tự nhiên chân thật, không bị biến dạng và biến mất đột ngột, góc quay cố định, chuyển cảnh tự nhiên, mượt mà</t>
  </si>
  <si>
    <t>Generate a realistic video from the input image showing a family cooking together in a kitchen.
Roles and actions are clearly defined and remain consistent throughout the video:
– The mother is cooking soup, gently stirring a pot on the stove.
– The father is guiding the son while teaching him how to cut vegetables, showing careful hand gestures.
All actions must be natural, calm, and believable, with realistic timing and subtle idle movements.
No character deformation, no extra limbs, no body warping, no face distortion.
No sudden appearance or disappearance of any person or object.
Camera remains completely fixed, preserving the original framing, composition, and perspective.
Movements are smooth, continuous, and stable, avoiding exaggerated or jerky motion.
Indoor lighting remains soft and consistent, no flickering, no flashing, no exposure jumps.
High realism, clean motion, stable animation, warm family atmosphere.</t>
  </si>
  <si>
    <t>CAFEB03001</t>
  </si>
  <si>
    <t>https://www.dropbox.com/scl/fo/f8o8rlh46dkv9o1drb30h/ABUIllQlhgAibeg4lT5It1Q?rlkey=11dtja4m0r6xitrvchrx8cnz9&amp;st=jexg1xdl&amp;dl=0</t>
  </si>
  <si>
    <t>Thêm AI Day to Night
Thêm cảnh trẻ em chơi ở playground bằng AI
xuất 4k</t>
  </si>
  <si>
    <t>https://www.dropbox.com/scl/fo/8p4xp0c0evlunb3lypktk/AKOHr-djBxCBKWbY44ZgmcE?rlkey=8vsae9446c2irvmv6uxwl3gn0&amp;st=8vj41xkd&amp;dl=0</t>
  </si>
  <si>
    <t>https://gemini.google.com/share/664b81116b63
https://gemini.google.com/share/ad829c999f8f</t>
  </si>
  <si>
    <t xml:space="preserve">viết promt để generate ảnh thành video trên higgsfield.ai, dùng hiệu ứng general (k.ling 2.5) tạo video chuyển cảnh từ ngày đến đêm, video bắt đầu từ ngày (ảnh 1) sau đó chuyển nhanh về ở buổi đêm ảnh 2 để nhìn rõ khung cảnh buổi đêm (tập trung vào khung cảnh buổi đêm hơn), máy quay di chuyển nhanh từ xa lại gần, đèn bật từ từ, đèn bật từ từ lúc khung cảnh bắt đầu chuyển sang đêm
Viết prompt tạo video từ ảnh, tôi dùng Higgsfield.ai và hiệu ứng general, tạo video trẻ em vui đùa trên sân, cam lia nhẹ sang trái rồi tiến lại gần, chuyển động người mượt mà không lỗi mặt
</t>
  </si>
  <si>
    <t>Create a video transitioning from day to night. Start with the daytime scene (image 1) and quickly shift to the nighttime scene (image 2), emphasizing the night view so that details of the night scene are clearly visible. Gradually turn on lights as the scene begins transitioning to night. Camera moves quickly from a distant view toward the scene, smoothly approaching closer while maintaining a natural cinematic motion. Ensure the transition is smooth, realistic, and the night scene is clearly highlighted.
Children playing happily in an outdoor playground, natural joyful movements, realistic body motion and facial expressions, smooth and stable animation.
The camera slowly pans slightly to the left, then gently dollies forward toward the children, cinematic and subtle camera movement.
Soft natural daylight, balanced lighting, realistic shadows.
Faces remain clear, correct anatomy, no facial distortion, no warped hands or limbs.
High realism, smooth motion, no jitter, no flickering, no sudden camera shake.
Keep the original scene composition, do not add extra objects or characters.</t>
  </si>
  <si>
    <t>NHFEB03007</t>
  </si>
  <si>
    <t>https://www.dropbox.com/scl/fo/hnoi90w5v1r1r7f5js0lc/AEnM1hICmQgLkNeXmJWHBx0?rlkey=6egzvnsgb0cgw81q7hgngsw8c&amp;dl=0</t>
  </si>
  <si>
    <t>Try to add AI people showing lifestyle in the house</t>
  </si>
  <si>
    <t>https://www.dropbox.com/scl/fi/53yv2mo5l3lmh220naprr/NHFEB03007-1.mp4?rlkey=s69vjm6als2zurg7kheusxxsk&amp;st=6hudrh6y&amp;dl=0</t>
  </si>
  <si>
    <t>https://gemini.google.com/share/b4c2a52eed57</t>
  </si>
  <si>
    <t>Viết prompt tạo video từ ảnh, tôi dùng Higgsfield.ai và hiệu ứng general tạo video một gia đình đang ngồi nói chuyện vui vẻ ở phòng khách, máy quay giữ nguyên không di chuyển, góc cam cố định, chuyển động người nhẹ nhàng, không lỗi mặt</t>
  </si>
  <si>
    <t>A family of four sitting in a living room, talking and laughing together, enjoying a cheerful and cozy atmosphere.
The family members move gently and naturally, subtle hand gestures and facial expressions, maintaining realistic proportions.
Faces remain clear and consistent, no distortion, no warped features.
The camera is completely fixed and static, no pan, no tilt, no zoom.
Smooth and stable animation, natural body motion, calm cinematic pacing.
Warm and soft indoor lighting, consistent shadows, high-quality visuals.
Keep the scene composition intact, do not add extra objects or characters.</t>
  </si>
  <si>
    <t>CAFEB05002</t>
  </si>
  <si>
    <t>https://www.dropbox.com/scl/fo/51mdvoohl3qxac2jlcc9w/AIn9UWMS6oAX7Vp314lsJJQ?rlkey=gigo2uo8uyjk3kpjku2pekhal&amp;st=07iele99&amp;dl=0</t>
  </si>
  <si>
    <t>thêm lửa trong lò sưởi 
thêm người trong bếp
thêm ngươi đang uống nước và tận hưởng bên ngoài</t>
  </si>
  <si>
    <t>https://www.dropbox.com/scl/fo/scp4dssy1t7hi12w3obrn/AAh3xMzjxuTbcNNtuyx-AaY?rlkey=2m2qa2p415smoddbl2lqfhrlx&amp;st=lc5jg5zo&amp;dl=0</t>
  </si>
  <si>
    <t>1. https://gemini.google.com/share/44737d652c87
2. https://gemini.google.com/share/9c181a67a44a 
3. https://gemini.google.com/share/00be3472aebf</t>
  </si>
  <si>
    <t>1. sửa prompt cũ
2. viết prompt tạo video từ ảnh bằng higgfield.ai, tôi dùng general (kling 2.6), tạo video gia đình 4 người đang sinh hoạt trong bếp, bố nấu đồ ăn trên bếp, mẹ chuẩn bị đồ ăn nhẹ cho con, 2 con tận hưởng món ăn trên bàn bếp, không khí gia đình vui vẻ, đầm ấm, hạnh phúc, góc quay từ từ tiến lại gần
3. viết prompt tạo video từ ảnh bằng higgfield.ai, tôi dùng general (kling 2.6), tạo video nhóm bạn đang ngồi uống nước, trò chuyện vui vẻ, góc quay từ từ tiến lại gần</t>
  </si>
  <si>
    <t>1. The camera opens on a still, sunlit room; the fireplace stands silently against the wall, its potential warmth hidden. The silence breaking as a soft, orange glow begins to flicker into existence within the hearth. The scene comes alive as flames dance gracefully, casting playful shadows and illuminating the room with a cozy ambiance. The camera holds the scene, capturing the inviting warmth and gentle crackle. As the flames settle into a steady burn, the room feels both familiar and alive. The final image captures this moment of transformation, leaving a lasting sense of comfort and tranquility.
2. Generate a realistic, cinematic video strictly based on the input image.
The scene shows a family of four naturally interacting in the kitchen.
The father is calmly cooking food at the stove, making small, realistic hand movements.
The mother is preparing light snacks and fruit for the children at the kitchen island.
The two children are sitting at the kitchen counter, happily enjoying their food, smiling, chewing, and interacting naturally.
The atmosphere feels warm, joyful, intimate, and full of family happiness.
All actions are subtle, natural, and true to real-life family moments.
The camera slowly and smoothly moves forward toward the family (slow dolly-in), stable and steady, no shake.
Maintain the original layout, lighting, colors, facial features, clothing, and environment exactly as in the input image.
Do not add new people, objects, furniture, food, or background elements.
Movements are realistic and smooth, with correct body proportions and facial consistency.
No face distortion, no body warping, no flickering, no lighting changes, no motion blur.
High realism, cinematic calm motion, clean and artifact-free animation.
3. Generate a realistic, high-quality video strictly based on the input image.
A group of friends is sitting together outdoors on a wooden patio, casually drinking beverages and chatting happily around the table.
Their movements are natural and subtle: light hand gestures while talking, lifting glasses to sip drinks, smiling, laughing softly, and relaxed body language.
The atmosphere feels friendly, joyful, and relaxed, like a real-life social gathering on a sunny day.
The striped patio umbrella gently responds to a light breeze, very subtle and realistic.
The camera slowly and smoothly moves forward toward the group (slow dolly-in), stable and steady, no shake or sudden motion.
Maintain the original environment, people, facial features, clothing, lighting, shadows, furniture, and background exactly as in the input image.
Do not add or remove any people, objects, drinks, or background elements.
Movements must be realistic, smooth, and physically correct.
No face distortion, no body deformation, no flickering light, no motion blur, no exposure changes.
Cinematic realism, clean animation, natural human interaction, artifact-free.</t>
  </si>
  <si>
    <t>HTFEB05011</t>
  </si>
  <si>
    <t>https://www.dropbox.com/scl/fo/tk31wl1dc4cd3k8c25gg0/AIXLBMm_7oN5PnNLqqdU3LU?rlkey=v9zp5yycb8et67d1w73v88hwt&amp;st=aa3fqfgg&amp;dl=0</t>
  </si>
  <si>
    <t>AI xuất hiện người
xuất 4k</t>
  </si>
  <si>
    <t>https://www.dropbox.com/scl/fi/wj92yj2b0wm5k7pnaysln/HTFEB05011.mp4?rlkey=58d77vq7k6utessvwc3lbadcp&amp;st=zm3mgcex&amp;dl=0</t>
  </si>
  <si>
    <t>https://gemini.google.com/share/b1dbd081b52c</t>
  </si>
  <si>
    <t>viết promt để generate ảnh thành video trên higgsfield.ai, tôi muốn góc cam dolly in walkthrough, zoom dần vào để thấy mọi người đang vui vẻ nói chuyện, ăn hoa quả với nhau, đọc báo</t>
  </si>
  <si>
    <t>A smooth dolly-in walkthrough camera movement, slowly moving forward into the scene.
The camera gently zooms in as it advances, drawing closer to a group of people gathered together.
As the camera approaches, people are happily talking and relaxing.
Some are eating fresh fruit, others are reading a newspaper, with casual gestures and natural interactions.
Expressions are warm and joyful, movements are subtle and realistic — light conversation, small hand motions, relaxed posture.
The environment remains stable and unchanged while the camera moves forward.
Lighting is soft and balanced, creating a cozy, everyday atmosphere.
No abrupt cuts, no shaking, no exaggerated motion.
The entire shot is continuous, calm, and cinematic, focused on capturing a pleasant, intimate moment.</t>
  </si>
  <si>
    <t>HTFEB05012</t>
  </si>
  <si>
    <t>https://www.dropbox.com/scl/fo/3w1tq696fl4gsr7xwxzs8/AKLbJVAW0hFmAUMTa6bMMik?rlkey=jouab4bvm6kdhqp7tcdp7t85c&amp;dl=0</t>
  </si>
  <si>
    <t>AI xuất hiện cả gia đình dùng bữa- chuyển cảnh ngày sang đêm 
xuất 4k</t>
  </si>
  <si>
    <t>https://www.dropbox.com/scl/fi/jixwj883h8esj1t7lkp3n/HTFEB05012.mp4?rlkey=2twsemcc0phk3eq6xwnbzph34&amp;st=ccdhowwm&amp;dl=0</t>
  </si>
  <si>
    <t>HUFEB04002Rev</t>
  </si>
  <si>
    <t>https://www.dropbox.com/scl/fo/ddqur6748zatuzl6s21pg/ADcyk4dkLdzLQ9Z_55PIsvY?rlkey=zncy9t272xx7j3aasbi5wgaaa&amp;dl=0</t>
  </si>
  <si>
    <t>Làm AI có người ở trong từng phòng đã note ở ảnh ( tạo chuyển động cho tôi ), Phòng khách thì cho 1 nhóm người đang ngồi nói chuyện, phòng ăn thì cho 1 gia đình đang ngồi ăn, ngoại cảnh thì cho 1 gia đình đang tổ chức tiệc nướng ngoài sân</t>
  </si>
  <si>
    <t>https://www.dropbox.com/scl/fo/c12fx5dvh36vju90hg6gm/AHwAA26bs6c_ID5AOiiJB8E?rlkey=5irk6i3w2qkhaiwn7t3wonl2b&amp;st=no8sbyi1&amp;dl=0</t>
  </si>
  <si>
    <t>https://gemini.google.com/share/93d2d77d25d0</t>
  </si>
  <si>
    <t>HUFEB05005</t>
  </si>
  <si>
    <t>https://www.dropbox.com/scl/fo/ck8ebsqz485y2aiitb1ji/AOjP5x-sC06gw7qUifxm-b8?rlkey=mvt7g6wq2d4ol3txbawbedqq5&amp;dl=0</t>
  </si>
  <si>
    <t xml:space="preserve">3 Ai mẹ nấu ăn và 2 cậu bé  xuất hiện  nhà bếp 
2 Ai 2 cậu bé đang chơi bóng chày 
1 Day to night 
ren 4k , và cố đừng để lệch frame ạ
</t>
  </si>
  <si>
    <t>https://www.dropbox.com/scl/fo/82ki92b8xhuz2x7lnl2fk/ALZuoL5ksioTIr5c6ki0U2g?rlkey=6pf0z2s8q4efyuagke9ae07xb&amp;st=fkini4ap&amp;dl=0</t>
  </si>
  <si>
    <t xml:space="preserve">https://gemini.google.com/share/90bc99e381d7 
https://gemini.google.com/share/2c1d26130edf 
https://gemini.google.com/share/30bcb591212d </t>
  </si>
  <si>
    <t>1. viết prompt tạo video từ ảnh bằng higgfield.ai, tôi dùng general (kling 2.6), tạo video hình ảnh 2 cậu bé đang chơi bóng chày với nhau, cậu bé áo xanh đánh bóng, bóng di chuyển theo một đường nhất định sau đó cậu bé áo đỏ bắt bóng bằng tay có găng tay bảo hộ, bóng chày di chuyển theo nhịp đánh của 2 cậu bé, không bay đi xa, góc quay cố định
2. viết prompt tạo video từ ảnh bằng higgfield.ai, tôi dùng general (kling 2.5), tạo video hình ảnh khu vực bếp có người mẹ đang nấu cơm và 2 cậu con trai đang chơi đùa trong không gian bếp, góc quay cố định
3. viết prompt tạo video từ ảnh bằng envato, tạo video chuyển cảnh timelap từ ban ngày hình ảnh 2 sang ban đêm hình ảnh 2, có chuyển động mây, bầu trời và mây chuyển động phải thật mượt mà, góc quay từ gần lùi ra xa</t>
  </si>
  <si>
    <t>1. Create a realistic lifestyle sports video from the input image.
The scene shows two young boys playing baseball together in the same space.
The boy wearing a blue shirt hits the baseball gently, using a controlled swing.
After being hit, the baseball travels along a clear, predictable arc, staying within a short distance and inside the frame.
The boy wearing a red shirt catches the baseball with his gloved hand, naturally and smoothly.
The baseball movement follows the rhythm of the boys’ actions, back-and-forth in a casual practice style, never flying far away.
All movements are smooth, coordinated, and realistic, with relaxed body language and playful expressions.
The environment remains stable and unchanged throughout the video.
Camera remains completely fixed, no pan, no zoom, no dolly, no shake.
Natural lighting, consistent shadows, cinematic realism, clean composition, high visual fidelity.
2. Create a cinematic family lifestyle video from the input image.
The scene shows a kitchen space with a mother cooking a meal, while her two young sons are playing happily nearby inside the kitchen.
The mother is focused and calm, performing natural cooking actions such as stirring food, chopping ingredients, or checking a pot on the stove.
The two boys are playful and energetic, laughing, talking, or lightly playing with each other, staying within the kitchen space.
All movements are natural, gentle, and realistic, capturing a warm everyday family moment.
The atmosphere feels cozy, loving, and authentic, like a family lifestyle commercial.
Lighting is soft and warm, with realistic shadows and reflections on kitchen surfaces.
Camera remains completely fixed, no pan, no zoom, no dolly, no shake.
The environment, kitchen furniture, and layout remain unchanged and stable throughout the video.
Cinematic realism, lifestyle photography style, clean composition, high visual fidelity.
3. Create a cinematic timelapse video using Image 2 as both the daytime and nighttime reference.
The scene transitions smoothly from daytime to nighttime while preserving realistic lighting and atmosphere.
Camera movement:
Start with a closer framing of the scene, then slowly and smoothly move backward (dolly out) to a wider view.
The camera motion must be stable, continuous, and perfectly smooth, as if filmed on a professional dolly.
No shaking, no jitter, no sudden speed changes.
Timelapse transition:
Gradual, natural transition from bright daylight to sunset, then to deep nighttime.
Sky colors shift smoothly from blue to warm sunset tones, then to dark night sky.
Sky and clouds:
Clouds move naturally across the sky with a fluid timelapse effect.
Cloud and sky movement must be seamless, realistic, and very smooth, without flicker or deformation.
Lighting details:
Exposure changes naturally over time.
Artificial lights (if present) gradually turn on as night falls.
Style:
Realistic, cinematic, high-quality timelapse, smooth transitions, professional stock footage.
Maintain correct scale, proportions, and structure of all elements from Image 2.</t>
  </si>
  <si>
    <t>THFEB05042</t>
  </si>
  <si>
    <t>https://www.dropbox.com/scl/fo/gsy3c8nznc4sx2c0rmb1v/AEXa04axTFru0l7WH30XZg8?rlkey=9qnerttskmes66tp27jfy1zqd&amp;dl=0</t>
  </si>
  <si>
    <t>1. AI SOME ONE BATHING THÊM ZOOM IN 1-2</t>
  </si>
  <si>
    <t>https://www.dropbox.com/scl/fi/1yhzuq49qymt1pc17c5q5/THFEB05042.mp4?rlkey=wikr39ycbyzsk6bt8w6iaz5fv&amp;st=sz4viqwj&amp;dl=0</t>
  </si>
  <si>
    <t>https://gemini.google.com/share/24f27b443ba9</t>
  </si>
  <si>
    <t>viết prompt tạo video từ ảnh bằng higgfield.ai, tôi dùng general (kling 2.5), tạo video hình ảnh người phụ nữ đang nằm thư giãn ở trong bồn tắm, người phụ nữ có hoạt động tắm lau người một cách nhẹ nhàng, góc quay zoom in</t>
  </si>
  <si>
    <t>Create a cinematic lifestyle video from the input image.
A woman is relaxing peacefully in a bathtub, partially submerged in water, with a calm and natural pose.
The scene feels serene, elegant, and non-sensual, like a luxury spa or wellness commercial.
Soft bathroom lighting, warm tones, realistic reflections on water, gentle steam in the air.
The camera performs a slow, smooth zoom-in, gradually moving closer to the subject’s upper body and face.
The zoom motion is steady and controlled, with no shaking, no sudden acceleration.
The woman remains still and relaxed, natural breathing, no exaggerated movement.
Background elements such as tiles, bathtub, towels, and decor remain unchanged and stable.
Cinematic realism, calm atmosphere, high visual fidelity, clean composition.</t>
  </si>
  <si>
    <t>CAFEB06001</t>
  </si>
  <si>
    <t>them noi that vao cac phong, va 1 số ai khác ( ghi rõ từng ảnh)</t>
  </si>
  <si>
    <t>https://www.dropbox.com/scl/fo/bf9026ue3fpt07hyhxy0n/AMME4W4DeXxQBMnzuLA9mcM?rlkey=4bdx4xipgg1g1rsntffaei0wm&amp;st=afgtqlxs&amp;dl=0</t>
  </si>
  <si>
    <t>HUFEB04002Rev2</t>
  </si>
  <si>
    <t>https://www.dropbox.com/scl/fo/31fkbjllh1qo5vir8cac4/ACNbE8j9ZSmUghSsqR5Ozqk?rlkey=6gqj69zirxpi7w65d2xzjsfnc&amp;dl=0</t>
  </si>
  <si>
    <t xml:space="preserve">Dining room
Muốn bộ bàn ăn đẹp “pop up” từ dưới sàn lên (kiểu effect dựng 3D / AI staging).
Bedrooms – cả 3 phòng đều phải có người:
Master bedroom 1:
Có giường ngủ đầy đủ,
Vợ chồng nằm trên giường, đang đọc sách hoặc nói chuyện.
Bedroom 2:
Có nôi (crib)
Em bé gái trong phòng.
Bedroom 3:
Phòng bé trai khoảng 8 tuổi,
Phong cách sports bedroom.
Backyard – shot cuối
Bộ patio set + pergola
Pop up từ mặt đất lên.
</t>
  </si>
  <si>
    <t>https://www.dropbox.com/scl/fo/4ro4z2cgqpb8vnzyb2jhv/AJn0v5aXviuwmhHWYrXXbvE?rlkey=hbkp6gayhos9tlo37td80z84q&amp;st=x7fl0572&amp;dl=0</t>
  </si>
  <si>
    <t>1. https://gemini.google.com/share/ff21bbc7f4dc 
2. https://gemini.google.com/share/60419c0abd93 
3. https://gemini.google.com/share/ad64e9037f2c 
4. https://gemini.google.com/share/088f62bdad35
5. https://gemini.google.com/share/509bb01fb6fb</t>
  </si>
  <si>
    <t>1. viết prompt tạo video từ ảnh bằng higgsfield, tôi dùng general (kling 2.5), nội thất phòng ăn trồi lên từ mặt đất
2. viết prompt tạo video từ ảnh bằng higgfield.ai, tôi dùng general (kling 2.6), tạo video hai vợ chồng đang đọc sách trên giường trong phòng ngủ, góc quay từ từ tiến lại gần
3. viết prompt tạo video từ ảnh bằng higgfield.ai, tôi dùng general (kling 2.6), tạo video bé gái trong nôi cựa quậy, camera tiến về phía nôi
4. viết prompt tạo video từ ảnh bằng higgfield.ai, tôi dùng general (kling 2.6), tạo video cậu bé chăm chú đọc sách trong phòng, camera tiến về phía cậu bé
5. viết prompt tạo video từ ảnh bằng higgsfield, tôi dùng general (kling 2.5), đồ đạc sân sau xuất hiện từ mặt đất</t>
  </si>
  <si>
    <t>1. Cinematic interior animation of a dining room forming from an empty space.
Dining furniture elements (dining table, chairs, rug, decor) slowly and gently rise vertically from the floor surface.
Each object emerges straight upward from its final position, perfectly aligned, no rotation, no drifting.
Rising motion is subtle, smooth, and controlled, as if objects are lifting from beneath the floor.
Camera remains fixed and stable, no movement.
Ultra-clean cinematic style, professional interior visualization.
Preserve the original room architecture, walls, ceiling, lighting, materials, and layout exactly as in the source image.
Do not change room structure or proportions.
No people, no animals, no additional objects beyond the intended dining furniture.
Natural shadows, realistic depth, smooth animation.
2. Generate a realistic, high-quality video strictly based on the input image.
A married couple is sitting together on the bed in a bedroom, calmly reading books.
Their movements are subtle and natural: gently turning pages, slight hand movements holding the book, relaxed posture, soft breathing, occasional small head movements while reading.
The atmosphere is quiet, warm, and intimate, conveying a peaceful and loving couple moment before rest.
The camera slowly and smoothly moves forward toward the couple (slow dolly-in), stable and steady, with no shaking or sudden motion.
Keep the original bedroom layout, bed position, furniture, lighting, colors, textures, and all visual details exactly as in the input image.
Do not add or remove any people, objects, furniture, or decorative elements.
Movements must be realistic, smooth, and physically correct.
No face distortion, no body deformation, no flickering light, no blur, no exposure change.
Cinematic realism, soft and natural lighting, clean motion, artifact-free.
3. Generate a realistic, high-quality video strictly based on the input image.
A baby girl lying in a crib gently moves and wiggles naturally.
Her movements are subtle and realistic: small arm movements, slight leg kicks, gentle body shifting, soft breathing, calm and innocent behavior typical of a baby resting in a crib.
The baby remains lying safely inside the crib at all times.
The camera slowly and smoothly moves forward toward the crib (slow dolly-in), steady and stable, with no shaking or sudden motion.
Keep the original crib, bedding, room layout, lighting, colors, and all visual details exactly as in the input image.
Do not add or remove any people, objects, toys, or furniture.
Movements must be physically accurate, soft, and natural.
No face distortion, no body deformation, no flickering light, no blur, no exposure change.
Calm, warm, peaceful atmosphere, cinematic realism, clean motion, artifact-free.
4.Generate a realistic, high-quality video strictly based on the input image.
A young boy is sitting quietly in the room, fully focused on reading a book.
His actions are natural and subtle: gently turning a page, slight head movement following the text, calm breathing, relaxed posture.
The boy’s facial expression shows concentration and curiosity while reading.
The camera slowly and smoothly moves forward toward the boy (slow dolly-in), stable and steady, no camera shake.
Keep the original room layout, furniture, lighting, colors, and all visual details exactly as in the input image.
Do not add or remove any people, objects, or decorations.
Movements must be physically realistic and age-appropriate.
No face distortion, no body deformation, no flickering light, no blur, no exposure change.
Quiet, warm, peaceful indoor atmosphere, cinematic realism, clean motion, artifact-free.
5. Cinematic outdoor visualization of a backyard being furnished.
Backyard furniture elements (outdoor chairs, table, benches, planters, decor) slowly and gently rise vertically from the ground surface.
Each object emerges straight upward from its final position, perfectly aligned, with no rotation, no drifting, and no sliding.
The rising motion is smooth, subtle, and controlled, as if the furniture is forming from beneath the ground.
Camera remains completely fixed and stable throughout the shot.
Clean, professional visualization style, realistic outdoor lighting and shadows.
Preserve the original backyard layout, ground surface, surrounding architecture, landscaping, lighting, and environment exactly as in the source image.
Do not change terrain, structure, or proportions.
No people, no animals, no vehicles, no additional objects beyond the intended backyard furniture.
Natural shadows, realistic depth, smooth animation.</t>
  </si>
  <si>
    <t>VUFEB06011</t>
  </si>
  <si>
    <t>https://www.dropbox.com/scl/fo/hscozvb5vd725vkce05kl/AIM_tGdBZfcUMLTgTASpn-Y?rlkey=akscwpcxxzbkrncolb4rjk6ko&amp;st=vihk0dtc&amp;dl=0</t>
  </si>
  <si>
    <t>xuất hiện nội thất và người ở phòng khách và bếp (từ xa đến gần)</t>
  </si>
  <si>
    <t>https://www.dropbox.com/scl/fo/va6pbm2veb9s3pacwpmv0/APozkPDGkPjC_-ISIvBIH68?rlkey=v4j35ckhrt21vj926vdtwdwo3&amp;st=g9wozgei&amp;dl=0</t>
  </si>
  <si>
    <t xml:space="preserve">https://gemini.google.com/share/bce2c4d95bd9 
https://gemini.google.com/share/3c834105ca3e </t>
  </si>
  <si>
    <t>1. viết prompt tạo video từ ảnh bằng higgsfield, tôi dùng general (kling 2.5),tạo video chuyển cảnh từ một phòng bếp trống sang hình ảnh phòng bếp đã có đầy đủ nội thất và có thêm một đôi vợ chồng đang nấu ăn cùng nhau người xuất hiện tự nhiên, không bị biến dạng, không biến mất đột ngột, góc quay từ xa đến gần, chuyển cảnh liên tục, liền mạch, không nháy đèn, không mờ hình, không rung lắc, dựa trên 2 hình ảnh đầu vào, không tạo thêm các chi tiết hư cấu
2.viết prompt tạo video từ ảnh bằng higgsfield, tôi dùng general (kling 2.5),tạo video chuyển cảnh từ một phòng khách trống sang hình ảnh phòng khách đã có đầy đủ nội thất và có thêm một đôi vợ chồng đang nói chuyện cùng nhau người xuất hiện tự nhiên, không bị biến dạng, không biến mất đột ngột, góc quay từ xa đến gần, chuyển cảnh liên tục, liền mạch, không nháy đèn, không mờ hình, không rung lắc, dựa trên 2 hình ảnh đầu vào, không tạo thêm các chi tiết hư cấu</t>
  </si>
  <si>
    <t>1. Create a smooth cinematic transition from an empty kitchen (Image 1) to the same kitchen fully furnished with a couple cooking together (Image 2), strictly based on the two input images.
The camera slowly moves forward from a distant view to a closer view, performing a gentle and stable dolly-in movement with constant speed.
Kitchen furniture and appliances gradually appear in a natural and coherent manner, maintaining correct positions, scale, and realism.
The couple appears naturally as part of the final scene, with realistic body proportions, stable faces, and consistent lighting, without distortion or sudden popping or disappearance.
The transition must be continuous, seamless, and fluid, with no flickering, no light flashing, no exposure jumps, no blur, and no shaking.
Camera motion remains smooth and controlled at all times, with no jitter, no abrupt acceleration, and no parallax distortion.
Preserve the original composition, perspective, architectural structure, and lighting logic of both input images.
Do not add, remove, or invent any elements beyond what exists in the two provided images.
The final result should look realistic, warm, and temporally coherent, like a professional interior lifestyle walkthrough.
2. Create a smooth cinematic transition from an empty living room (Image 1) to the same living room fully furnished with a couple talking together (Image 2), strictly based on the two input images.
The camera slowly moves forward from a wide view to a closer view, performing a gentle and stable dolly-in movement with constant speed.
Living room furniture appears gradually and naturally, maintaining correct positions, scale, proportions, and realism.
The couple appears naturally in the scene, with realistic body proportions, stable faces, and consistent lighting, as if they are calmly talking together.
No body deformation, no facial distortion, no sudden appearance or disappearance.
The transition must be continuous, seamless, and fluid, with no flickering, no light flashing, no exposure jumps, no blur, and no shaking.
Camera motion remains smooth and controlled, with no jitter, no abrupt acceleration, and no parallax distortion.
Preserve the original composition, perspective, architectural structure, and lighting logic of both input images.
Do not add, remove, or invent any elements beyond what exists in the two provided images.
The final result should look realistic, warm, and coherent, like a professional interior lifestyle walkthrough.</t>
  </si>
  <si>
    <t>QUFEB06001</t>
  </si>
  <si>
    <t>https://www.dropbox.com/scl/fo/ldqzuub1filonfr3jotnx/AJCZVczzxi9K0D-dk3OOGxU?rlkey=ey1qjf9odvbiqvr2vupjuzyrk&amp;dl=0</t>
  </si>
  <si>
    <t xml:space="preserve">- AI people được tạo trong khu hồ bơi cho một cảnh pool party ( ảnh 15)
 (không cần quá đông, chỉ để tạo cảm giác sinh hoạt ngoài trời)
- AI people cho lifestyle trong phòng khách  (ảnh 13)
- AI people cho lifestyle trong nhà bếp ảnh ( ảnh 14) 
- 1 AI DAY to night ở mặt tiền ngôi nhà. từ ảnh 11 đến ảnh 12 </t>
  </si>
  <si>
    <t>https://www.dropbox.com/scl/fo/si408pf25vt0qco0edd9b/ACyZ_Y1ebjyMSl8fWQbMOAQ?rlkey=8f0gspmd9sgrrubwpfez0wfer&amp;st=3ikerl0u&amp;dl=0</t>
  </si>
  <si>
    <t xml:space="preserve">https://gemini.google.com/share/62075d09ffe2 
https://gemini.google.com/share/c46a20a0de09 
https://gemini.google.com/share/2e74365d2c3b 
https://gemini.google.com/share/fd34aa3495c4 </t>
  </si>
  <si>
    <t>1. viết prompt tạo video từ ảnh bằng envato, chuyển cảnh timelapse landscape từ ngày (ảnh 1) sang đêm (ảnh 2), có chuyển động mây, bầu trời chuyển động phải thật mượt mà, góc từ xa đến gần, chuyển cảnh liên tục, liền mạch, không nháy đèn, không mờ hình, không rung lắc, dựa trên 2 hình ảnh đầu vào, không tạo thêm các chi tiết hư cấu
2. viết prompt tạo video từ ảnh bằng higgsfield, tôi dùng general (kling 2.6),tạo video một người phụ nữ đang nằm trên con vịt thư giãn và cầm ly rượu uống và nói chuyện với người đàn ông, người đàn ông ở trên bờ nhìn người phụ nữ và nói chuyện cùng nhau, góc quay cố định
3. viết prompt tạo video từ ảnh bằng higgsfield, tôi dùng general (kling 2.6),tạo video 3 người đang nói chuyện cùng nhau ở trong khu vực bếp, góc quay cố định
4. viết prompt tạo video từ ảnh bằng higgsfield, tôi dùng general (kling 2.6),tạo video người mẹ và người bố đang nói chuyện với nhau còn người con gái đang chơi máy tính bảng, góc quay cố định</t>
  </si>
  <si>
    <t>1. Create a realistic timelapse landscape transition strictly based on the two provided input images.
Image 1 represents daytime, Image 2 represents nighttime.
The camera begins from a distant view and slowly moves forward toward the landscape, creating a gentle push-in motion.
The transition from day to night is gradual and continuous, with natural changes in sky color, brightness, and overall lighting over time.
The sky and clouds move with ultra-smooth, fluid timelapse motion, maintaining a natural and realistic flow without distortion or artifacts.
Camera movement must be slow, stable, and controlled, with no shaking, no sudden acceleration, and no abrupt stops.
The entire transition must be seamless and uninterrupted, with no flickering, no light flashing, no exposure jumps, no motion blur, and no camera shake.
Do not generate or introduce any new objects, structures, people, lights, stars, vegetation, or fictional elements.
Preserve the original composition, landscape layout, scale, and perspective exactly as shown in the input images.
The final result should feel calm, cinematic, and realistic, simulating a natural timelapse from day to night with a smooth push-in camera movement, using only the two provided images.
2
 Create a realistic cinematic scene based strictly on the provided input image(s).
A woman is lying relaxed on a duck-shaped float, holding a wine glass, calmly drinking and talking.
A man stands on the shore, looking toward the woman and naturally talking with her.
Their movements are subtle and natural, such as small head turns, gentle hand gestures, and relaxed posture, with no exaggerated actions.
The camera remains completely static with a fixed angle throughout the entire shot, no movement, no zoom, no pan, no tilt.
Motion is smooth and stable, with realistic timing and interaction between the two people.
No flickering, no light flashing, no exposure changes, no blur, no shaking.
Preserve original composition, scale, perspective, lighting, and realism from the input image(s).
Do not add, remove, or invent any people, objects, background elements, or environmental details beyond what exists in the input image(s).
The final result should look natural, calm, and lifestyle-oriented, like a relaxed leisure moment.
3. Create a realistic cinematic scene of three people standing and talking together in a kitchen area, strictly based on the provided input image(s).
The three people interact naturally, with subtle movements such as gentle head turns, small hand gestures, relaxed body posture, and calm facial expressions while talking.
Their positions remain stable and consistent throughout the scene, with no sudden movement or repositioning.
The camera remains completely static with a fixed angle for the entire shot, no movement, no zoom, no pan, no tilt.
Motion is smooth, controlled, and realistic, with natural timing and interaction between the three people.
No flickering, no light flashing, no exposure jumps, no blur, and no shaking.
Preserve the original composition, perspective, scale, lighting, and realism of the kitchen and all subjects from the input image(s).
Do not add, remove, or invent any people, objects, furniture, or background details beyond what exists in the input image(s).
The final result should look natural, calm, and lifestyle-oriented, like a casual kitchen conversation scene.
4 Create a realistic cinematic scene based strictly on the provided input image(s).
A mother and a father are standing or sitting together, calmly talking to each other with natural interaction.
Their movements are subtle and realistic, such as gentle head turns, small hand gestures, and relaxed facial expressions.
A daughter is nearby, quietly using a tablet, focused on the screen, with minimal and natural hand movement.
The parents and the child remain consistent in position and scale, with no sudden movement or repositioning.
The camera remains completely static with a fixed angle throughout the entire shot, no movement, no zoom, no pan, no tilt.
Motion is smooth, controlled, and lifelike, with natural timing between conversation and the child’s activity.
No flickering, no light flashing, no exposure jumps, no blur, and no shaking.
Preserve the original composition, perspective, scale, lighting, and realism from the input image(s).
Do not add, remove, or invent any people, objects, furniture, or background details beyond what exists in the input image(s).
The final result should feel warm, natural, and family-oriented, like a calm everyday lifestyle moment.</t>
  </si>
  <si>
    <t>CAFEB06012</t>
  </si>
  <si>
    <t>https://www.dropbox.com/scl/fo/5qcbl6p3d52kw1w89w3oh/AIYtGE8oZaP2xckTncr2t4I?rlkey=sm8hhy976yxetgelkbkm9cc6g&amp;dl=0</t>
  </si>
  <si>
    <t>tạo AI có người nấu ăn ở bếp phù hợp với bên nước ngoài là đc
==&gt; xuất 4k</t>
  </si>
  <si>
    <t>https://www.dropbox.com/scl/fi/paa7qa3079be3zqu4f8th/CAFEB06012.mp4?rlkey=iw4aoz3h3jto7v5bksyfa9luh&amp;st=omejg6hg&amp;dl=0</t>
  </si>
  <si>
    <t>https://gemini.google.com/share/6d4402bb1672</t>
  </si>
  <si>
    <t>viết prompt tạo video từ ảnh bằng higgsfield, tôi dùng general (kling 2.5),tạo video từ hình ảnh người phụ nữ đang nấu ăn ở trong bếp, góc quay cố định</t>
  </si>
  <si>
    <t>Create a realistic, natural video strictly based on the provided input image.
The camera remains completely fixed and static throughout the entire video, with no pan, no tilt, no zoom, and no camera shake.
A woman is cooking in the kitchen, performing subtle, everyday cooking actions such as gently stirring, preparing ingredients, or light hand movements that match the original image context.
Her movements should feel calm, smooth, and lifelike, with natural body posture and believable timing.
Facial expression and gestures remain consistent and realistic, with no distortion or exaggeration.
All kitchen objects, appliances, and background elements remain stationary and unchanged.
Lighting, shadows, colors, and perspective stay consistent with the original image.
The scene should feel continuous and stable, as if captured in a real, steady shot.
Do not add, remove, or invent any objects, people, or environmental details beyond the input image.</t>
  </si>
  <si>
    <t>HTJAN17001Rev3</t>
  </si>
  <si>
    <t>https://www.dropbox.com/scl/fo/8wu0xlp60475xll9qmg9s/ANhg0wTEt7F8Iwj1pRTHFS8?rlkey=ysgzrv7bsoj6j5uuronrkgfmd&amp;dl=0</t>
  </si>
  <si>
    <t xml:space="preserve">
Can I get a better quality AI-enhancement in the living room. Everyone's face is either blurry or distorted.</t>
  </si>
  <si>
    <t>https://www.dropbox.com/scl/fi/rry40k2whopjmbmkaqelj/HTJAN17001Rev3.mp4?rlkey=xb8y360ody1n2w64xwll5ou36&amp;st=hmsr4s5h&amp;dl=0</t>
  </si>
  <si>
    <t>viết prompt tạo video từ ảnh bằng higgfield.ai, tôi dùng general (kling 2.6), tạo video từ hình ảnh một gia đình đang ngồi nói chuyện với nhau với tâm trạng vui vẻ, người con gái đang là người kể chuyện cho mọi người nghe, người bố thì nhìn con gái và cười một cách chú tâm, người mẹ thì nghe con nói và tiếp chuyện cùng người con gái, người con trai thì nhìn em gái và cười một cách vui vẻ, tất cả mọi người đều chú tâm vào câu chuyện của người con gái, quá trình tạo video không có bị biến dạng mặt, giữ nguyên nét mặt của từng người, cử chỉ tự nhiên, người không bị biến đổi và không bị biến mất đột ngột, góc quay cố định</t>
  </si>
  <si>
    <t>Create a realistic video based strictly on the input image using Higgsfield AI, General model (Kling 2.6).
A family is sitting together and having a happy conversation. The daughter is the main storyteller, speaking animatedly with natural hand gestures and facial expressions.
The father is looking at his daughter attentively and smiling warmly.
The mother is listening carefully to the daughter and gently responding, engaging in the conversation.
The son is looking at his sister and smiling happily.
All family members are fully focused on the daughter’s story, showing natural emotional reactions and eye contact.
Facial features must remain identical to the original image. No face distortion, no facial morphing, no identity change.
Movements are subtle, realistic, and natural. No exaggerated motion.
No person disappears, transforms, or changes position unexpectedly.
Camera angle is fixed and stable, no camera movement, no zoom, no pan.
Lighting remains consistent with the original image.
Do not add or remove any objects, people, or background details beyond what exists in the input image.
High realism, smooth motion, stable frame, clean output.</t>
  </si>
  <si>
    <t>QUJAN23007Rev4</t>
  </si>
  <si>
    <t>https://www.dropbox.com/scl/fo/6uvegvrifixxjuaobz1t7/ADXFGp-5SLirwGHEdiI-d8g?rlkey=an8cx9212ui2vktfo9sv3joqz&amp;st=u73vaedp&amp;dl=0</t>
  </si>
  <si>
    <t>1. làm con số làm cho các con số trên lò sưởi/furnace bật ra phía trước màn hình rồi rơi lại vị trí cũ
2. Ở garage, hãy AI thêm một chiếc xe và cho một gia đình bước xuống xe rồi đi qua garage</t>
  </si>
  <si>
    <t>https://www.dropbox.com/scl/fo/du1rw2sai3kdzn71p20hu/AKajJ6LsvmgVaCrR8ixnCq8?rlkey=2uwxwktm99d5wrj31bxd58dme&amp;st=auo0s5hk&amp;dl=0</t>
  </si>
  <si>
    <t>QUJAN24007Rev</t>
  </si>
  <si>
    <t>https://www.dropbox.com/scl/fo/b50rrtcgdln281ezb4xwz/AG_yjZUuB9WchM3H02lndmE?rlkey=4nuit235rdjluy2jhhc74s3kz&amp;dl=0</t>
  </si>
  <si>
    <t>- tạo video AI giống như một bữa tiệc khiêu vũ salsa với ban nhạc sống và nhảy salsa ngoài kia
===&gt; xuất 4k</t>
  </si>
  <si>
    <t>https://www.dropbox.com/scl/fi/rarz8435l1qs3iyt6eybp/QUJAN24007Rev.mp4?rlkey=21iuozssvqo9thmn4w44ahmsn&amp;st=abuq39zh&amp;dl=0</t>
  </si>
  <si>
    <t>tạo cảnh một bữa tiệc khiêu vũ salsa với ban nhạc sống và mọi người đang nhảy salsa ngoài hiên nhà</t>
  </si>
  <si>
    <t>Generate a cinematic live-action party video from a still image.
Use the input image as the only visual reference.
Create a scene of a salsa dance party with a live band and people dancing on the house porch, while strictly preserving the original composition, layout, and spatial structure of the input image.
Do not introduce new objects, characters, or fictional elements.
Action &amp; motion:
People naturally dancing salsa in place
Live band performing subtle rhythmic movements
Realistic body motion and interaction
Natural crowd energy, no exaggerated gestures
Camera behavior:
Fixed camera position
No camera movement
No zoom, no pan, no tilt
Perfectly stable frame
Transition &amp; motion quality:
Continuous motion, no cuts
Smooth frame interpolation
No jitter, no flicker
No flashing lights
Visual style:
Cinematic realism
Natural lighting from the original scene
Clean, sharp details
No blur, no glow
Consistent exposure
Constraints:
Preserve all original objects and background
No added decorations, no new lights
No scene reconstruction
No fantasy or stylized effects</t>
  </si>
  <si>
    <t>THJAN26008</t>
  </si>
  <si>
    <t>https://www.dropbox.com/scl/fo/6hf96bga7weawznfcle09/AL14B3G-FptRfOSg4cmudH4?rlkey=yeffepwmyrbmnki8q1h9m0gbd&amp;dl=0</t>
  </si>
  <si>
    <t>1: xuất hiện ng nấu ăn trong bếp
2: xuất hiện 1ng nữ trong bồn tắm
3: xuất hiện ng nhảy xuống hồ bơi</t>
  </si>
  <si>
    <t>https://www.dropbox.com/scl/fo/qaxays5heo4oty4xal2v0/ABKbnnyRBF7Rci3XklZ3C7o?rlkey=zxopusw1igf4v56ixpvcl0kty&amp;st=eryuhr5a&amp;dl=0</t>
  </si>
  <si>
    <t>tạo cho tôi hình ảnh gia đình 3 người nấu ăn vui vẻ trong bếp, các chi tiết khác của ảnh giữ nguyên, tuyệt đối không thay đổi kích thước 9:16 của ảnh, góc cam cố định
tôi muốn người phụ nữ kiểu đang nghịch xà phòng,  các chi tiết khác của ảnh giữ nguyên, tuyệt đối không thay đổi kích thước 9:16 của ảnh, góc cam cố định
tạo cho tôi hình ảnh 1 người đang đứng trong tư thế thẳng chuẩn bị nhảy xuống hồ bơi, các chi tiết khác của ảnh giữ nguyên, tuyệt đối không thay đổi kích thước 9:16 của ảnh, góc cam cố định</t>
  </si>
  <si>
    <t>viết promt để generate ảnh thành video trên higgsfield.ai, dùng hiệu ứng general (k.ling 2.6) tạo video gia đình đang nói chuyện nấu ăn vui vẻ ở phòng bếp, máy quay phải giữ nguyên không di chuyển, góc cam cũng phải set cố định tại một góc, chuyển động người nhẹ nhàng, không lỗi mặt,
viết promt để generate ảnh thành video trên higgsfield.ai, dùng hiệu ứng general (k.ling 2.6) tạo video muốn người phụ nữ kiểu đang nằm trong bồn tắm thư giãn, nghịch xà phòng, máy quay phải giữ nguyên không di chuyển, góc cam cũng phải set cố định tại một góc, chuyển động người nhẹ nhàng, không lỗi mặt,
viết promt để generate ảnh thành video trên higgsfield.ai, dùng hiệu ứng general (k.ling 2.6) tạo video muốn người đàn ông nhảy xuống hồ bơi, máy quay phải giữ nguyên không di chuyển, góc cam cũng phải set cố định tại một góc, chuyển động người nhẹ nhàng, không lỗi mặt,</t>
  </si>
  <si>
    <t>A warm and cozy modern kitchen interior. A happy family is cooking and chatting together. The video starts from the provided still image. The camera remains completely static in a fixed corner angle, no camera movement, no zoom, no shake. Family members make gentle and natural body movements while cooking and talking, smiling and interacting softly. Facial features remain stable and clear, no face distortion, no flickering, no morphing. Lighting is warm and consistent. Movements are smooth and slow, realistic and natural. The background kitchen remains unchanged. High-quality cinematic realism.
A calm and cozy bathroom scene. A woman is relaxing in a bathtub filled with soft foam bubbles. She gently plays with soap bubbles in her hands, smiling peacefully. The video starts from the provided still image. The camera remains completely static at a fixed corner angle, no camera movement, no zoom, no shake. The woman's movements are slow, soft, and natural. Facial features remain stable and clear, no face distortion, no flickering, no morphing. The lighting is warm and soothing. Water and bubbles move subtly. The background bathroom remains unchanged. Realistic cinematic quality.
A modern outdoor swimming pool scene. A man stands at the pool edge and gently jumps into the water. The video starts from the provided still image. The camera remains completely static at a fixed corner angle, no camera movement, no zoom, no shake. The man's motion is smooth and natural, a gentle jump with realistic body movement. Facial features remain stable and clear, no face distortion, no flickering, no morphing. Water splash is soft and realistic, not exaggerated. Lighting remains consistent. Background environment stays unchanged. High-quality cinematic realism.</t>
  </si>
  <si>
    <t>HAJAN26004</t>
  </si>
  <si>
    <t>https://www.dropbox.com/scl/fo/eqmws8luvvgh2sqda98ov/ADoXX0C0VAsraHtvNrjIf-E?rlkey=l7i6o8vk3lcxsqjo5mq2uoo1c&amp;dl=0</t>
  </si>
  <si>
    <t>Have children building a snowmen appear</t>
  </si>
  <si>
    <t>https://www.dropbox.com/scl/fi/mldokb628kx68md5mb8mb/HAJAN26004.mp4?rlkey=kyzytdw7p4o8gfp1cgavgrhbe&amp;st=l6xvoubw&amp;dl=0</t>
  </si>
  <si>
    <t>tạo hình ảnh Have children building a snowmen appear, các chi tiết khác của ảnh giữ nguyên, tuyệt đối không thay đổi kích thước 9:16 của ảnh, góc cam cố định</t>
  </si>
  <si>
    <t>viết promt để generate ảnh thành video trên higgsfield.ai, dùng hiệu ứng general (k.ling 2.6) tôi muốn tạo video Have children building a snowmen appear, máy quay phải giữ nguyên không di chuyển, góc cam cũng phải set cố định tại một góc, chuyển động người nhẹ nhàng, không lỗi mặt,</t>
  </si>
  <si>
    <t>A winter outdoor scene covered in fresh snow. Several children are happily building a snowman together. The video starts from the provided still image. The camera remains completely static at a fixed corner angle, no camera movement, no zoom, no shake. The children make gentle and natural movements: placing snow, patting the snowman, and smiling at each other. Facial features remain stable and clear, no face distortion, no flickering, no morphing. Snow particles fall lightly and naturally. Lighting is soft winter daylight. The background environment remains unchanged. Smooth realistic cinematic quality.</t>
  </si>
  <si>
    <t>NHJAN22018rev7</t>
  </si>
  <si>
    <t>https://www.dropbox.com/scl/fo/pj34w4kyo84jfp38d6nej/AABpajyEwlYi3bdiO6hFqXo?rlkey=mre10x9feyl5105ta306b7nav&amp;st=12oxogti&amp;dl=0</t>
  </si>
  <si>
    <t>cho hiện cảnh người y như sample ở link input, nhưng bỏ cái nền bê tông,  cho mọi người tổ chức picnic hoặc sinh hoạt ở bãi cỏ, xuât 4K</t>
  </si>
  <si>
    <t>https://www.dropbox.com/scl/fi/sy7yp2fclscbw7mococ5j/NHJAN22018rev7.mp4?rlkey=12bg9y5rf5kkrie99egw2vw1c&amp;st=yzyuz3bg&amp;dl=0</t>
  </si>
  <si>
    <t>Nổ</t>
  </si>
  <si>
    <t>MKTDEC17002</t>
  </si>
  <si>
    <t>https://www.dropbox.com/scl/fo/iukluj5d69yn19317nz5h/ADF10NWUFpW2aciLkZVdrgs?rlkey=seaudp0jjispj8yj40v24dx4o&amp;dl=0</t>
  </si>
  <si>
    <t>tạo video nổ nhà và cho camera di chuyển lùi ra và lùi lên trên cao</t>
  </si>
  <si>
    <t>https://www.dropbox.com/scl/fi/9s8hs8torgt4z2oup2u84/MKTDEC17002-1.mp4?rlkey=kujh91rrtakbasxtv6wm9sr3a&amp;st=erau5kwf&amp;dl=0</t>
  </si>
  <si>
    <t>https://www.dropbox.com/scl/fo/2fxzp4ml0b58sugisvo84/AE5PkcDAPVj7834Td976eAM?rlkey=bv121fxf0ggrqjs02sbulxisq&amp;dl=0</t>
  </si>
  <si>
    <t>làm nổ nhà đẹp và cho camera di chuyển lùi ra lên trên như mẫu</t>
  </si>
  <si>
    <t>https://www.dropbox.com/scl/fi/j5fid1n7roc66fcaymlyf/MKTDEC17002-2.mp4?rlkey=u5i5ch1l3f133efp4rvrnm6er&amp;st=5fgi5d27&amp;dl=0</t>
  </si>
  <si>
    <t>viết prompt tạo video từ ảnh bằng higgsfield.ai, hiệu ứng building explosion, tôi muốn ngôi nhà nổ tung, góc cam chuyển động từ góc chính diện sang góc quay drone từ trên xuống, dùng camera fpv drone</t>
  </si>
  <si>
    <t>A realistic cinematic building explosion.
The video starts from the original image of a house, intact and still.
Suddenly, a powerful explosion erupts from inside the house, blasting walls, roof, and debris outward in all directions. Concrete, wood, glass, and dust are violently thrown into the air with realistic physics and shockwave effects.
Thick smoke, fire, sparks, and debris fill the scene.
Camera movement: The camera accelerating upward and backward, then smoothly rotating into a top-down drone view.
Style &amp; effects: Ultra-realistic, cinematic lighting, high-detail particles, dramatic slow-motion during peak explosion, realistic destruction simulation, modern VFX quality, no cartoon style.
Constraints: Use the original image as the base scene. The house must explode completely. No rebuilding or appearing animation. Only destruction.</t>
  </si>
  <si>
    <t>VADEC20003Rev</t>
  </si>
  <si>
    <t>https://www.dropbox.com/scl/fo/ihns0sy4ww421lzd9i1gl/AEAKoMt899chpL7NU3d9Uq0?rlkey=hd1mpoemqoul3qpywacml0czi&amp;dl=0</t>
  </si>
  <si>
    <t>làm nhà màu trắng kia nổ tung giúp mình nhé</t>
  </si>
  <si>
    <t>https://www.dropbox.com/scl/fi/nn4xp592111en2go9czmd/VADEC20003Rev.mp4?rlkey=w8kkfqqbi682s14w5g5jzkpye&amp;st=lvftz7gp&amp;dl=0</t>
  </si>
  <si>
    <t>tôi dùng higgsfield.ai và hiệu ứng building explosion, tạo video chỉ tòa nhà màu trắng mái xám được khoanh vùng phát nổ, còn lại không bị sao hết, hãy mô tả chính xác để higgsfield có thể xác định đúng ngôi nhà cần nổ</t>
  </si>
  <si>
    <t xml:space="preserve">Only the white building with a flat gray roof in the foreground explodes.
The target building is a three-story rectangular building with a white/light-gray facade, located at the bottom center of the frame.
It is directly in front of a dark parking lot and has an orange bus passing on the street in front of it.
This is the only white building in the foreground.
Trigger a realistic building explosion ONLY on this specific building.
All surrounding buildings, streets, parking lots, vehicles, and background structures remain completely intact and unaffected.
No shockwave damage, no debris impacting other buildings.
Explosion is localized strictly within the white building’s structure.
Camera remains fixed.
Cinematic realism, controlled destruction, accurate physics.
</t>
  </si>
  <si>
    <t>https://www.dropbox.com/scl/fo/9ku4qwi1cazm7rlwhu7wb/ACswNZOabemEdtBVV7QUndQ?rlkey=m4kngacs2gg1egw4b977nus7n&amp;dl=0</t>
  </si>
  <si>
    <t>xuất 4k, tạo hiệu ứng nổ nhà và lùi lên trên cao và xa như mẫu, để thời lượng lâu nhất có thể nhé bạn : https://www.dropbox.com/scl/fi/ez69qwqu13r3cmfonj5yx/sample.mp4?rlkey=2ynbewj2vhkmtr7tl0ai42shr&amp;dl=0</t>
  </si>
  <si>
    <t>https://www.dropbox.com/scl/fi/obntutcgbydt2wqgphqxx/n-4k.mp4?rlkey=okbtaonfj6l7ssuva3138uc6a&amp;st=1dwlrlbw&amp;dl=0</t>
  </si>
  <si>
    <t xml:space="preserve">viết prompt tạo video từ ảnh bằng higgsfield.ai, hiệu ứng building explosion, ngôi nhà nổ tung, góc quay lùi ra xa và lia lên trên (fpv drone)
tôi muốn nổ có như nổ bom là sự kết hợp của ánh sáng chói lòa, sóng xung kích cực mạnh xé nát mọi thứ, nhiệt độ thiêu đốt dữ dội và bức xạ nguy hiểm, tạo nên một quả cầu lửa khổng lồ, sau đó là đám mây hình nấm (đặc biệt với bom hạt nhân) và các vụ cháy lan, để lại hậu quả kinh hoàng như san bằng thành phố, thương vong lớn, mảnh vỡ phóng xạ và sự tàn phá trên diện rộng.  </t>
  </si>
  <si>
    <t>A catastrophic cinematic explosion completely obliterates the entire house. A blinding white flash erupts instantly, followed by an extremely powerful shockwave that tears the whole structure apart. Walls, roof, and foundation are violently shattered and thrown outward in all directions. A massive expanding fireball engulfs the house, leaving no intact structure behind. Extreme heat distortion ripples through the air as debris, dust, and smoke fill the scene. And then towering mushroom-shaped clouds rise into the sky. Camera rapidly pulls backward while ascending upward, revealing the total destruction from above. Ultra-realistic physics, epic scale, dramatic lighting, cinematic realism, high-impact VFX.</t>
  </si>
  <si>
    <t>https://www.dropbox.com/scl/fo/kk88mt8m59j2bjjnkyxv1/ADITN5yUqgeAcsT7ZweMeLQ?rlkey=olu3scc4ptff6yovnbboy8hsg&amp;dl=0</t>
  </si>
  <si>
    <t xml:space="preserve"> nổ giữa trung tâm với làm từ trái sang phải giúp em 
sample: https://www.instagram.com/reel/DRPTUHLDXVT/?igsh=a2tjYXZ1ZzBhN25h </t>
  </si>
  <si>
    <t>https://www.dropbox.com/scl/fo/ividawnfgibxl28k0uo7b/ANy5pzIj3f8_R5UO8p2nKms?rlkey=to74nenkr4kkzgau7cr5hpl9x&amp;st=tv30ds13&amp;dl=0</t>
  </si>
  <si>
    <t>viết prompt tạo video từ ảnh bằng higgsfield.ai, tôi muốn từ trung tâm bãi đất bắt đầu một vụ nổ địa chấn (ground explosion) điển hình, nơi năng lượng được giải phóng từ dưới lòng đất, hất tung một lượng lớn vật chất lên cao kèm theo cầu lửa nhiệt độ cao., góc cam từ trái sang phải
tôi muốn nó nổ dưới lòng đất, làm cho bề mặt đất phồng và nhô lên, sau đó mới vỡ tung và khói bụi,...
tôi muốn Kéo dài rõ hơn pha ‘ground bulge’ trước khi nổ</t>
  </si>
  <si>
    <t>A deep underground explosion begins far beneath the surface at the center of the open land.
For several seconds, the ground surface slowly and visibly bulges upward, swelling higher and wider as immense pressure accumulates below. The soil deforms heavily, forming a large pressurized mound, with fine cracks spreading gradually across the surface. Small puffs of dust leak from the cracks, emphasizing the growing tension.
Only after this extended buildup phase, the trapped energy suddenly ruptures the ground, blasting massive amounts of soil, rock, and debris violently upward. A brief high-temperature fireball flashes from the ruptured core, followed by thick volumetric smoke and dense dust clouds expanding outward.
The entire sequence clearly reads as a subsurface-driven ground explosion, with heavy, gravity-bound debris motion and a visible shockwave rippling across the land.”
Camera:
“Slow, smooth camera pan from left to right, stable and cinematic, maintaining a consistent aerial height to clearly showcase the prolonged ground bulging phase before the eruption.”
Style &amp; Physics:
“Cinematic realism, realistic subsurface pressure physics, extended ground deformation phase, delayed surface rupture, volumetric smoke and dust, shockwave propagation, dramatic lighting, natural color grading.”</t>
  </si>
  <si>
    <t>TRDEC21004</t>
  </si>
  <si>
    <t>https://www.dropbox.com/scl/fo/7kms7jqxy2s9splv5ldsc/ALbuEmhbX6ofgGQXIY_GaBg?rlkey=1j9punk7tcufu38zhq6h54evz&amp;st=cz5fwz8t&amp;dl=0</t>
  </si>
  <si>
    <t>https://www.instagram.com/reel/DRPTUHLDXVT/?utm_source=ig_web_copy_link&amp;igsh=NTc4MTIwNjQ2YQ%3D%3D
1. Chỉ làm hiệu ứng boom nổ mảnh đất ở giữa giống sample,  ko zoom vào ra như sample, xuất 4k</t>
  </si>
  <si>
    <t>https://www.dropbox.com/scl/fi/5xklq3wzd5ll82op5r1aq/TRDEC21004.mp4?rlkey=1nouhbwkuzg1ih4yi2a835c09&amp;st=snt91d9s&amp;dl=0</t>
  </si>
  <si>
    <t>tạo video dùng 1 ảnh nên không rend ảnh</t>
  </si>
  <si>
    <t>viết prompt tạo video từ ảnh bằng higgsfield.ai, hiệu ứng building explosion, viết prompt chỉ nổ mảnh đất được đánh dấu hình chữ nhật màu đỏ ở trong ảnh, chỉ nỗ mảnh đất được đánh dấu, xung quang không bị tổn hại</t>
  </si>
  <si>
    <t>Building explosion – strictly localized single-structure detonation.
Using the provided aerial image, create a controlled building explosion effect with a completely static, top-down camera.
Explosion target area:
The explosion occurs only at the single residential house located at the exact center of the image, identifiable by its brown roof, surrounded closely by dense green trees on both sides and positioned between two larger gray-roof buildings. This central house sits on its own narrow plot of land, distinct from all surrounding properties.
Explosion behavior:
Only this central house  are affected. The structure collapses inward and upward, with debris, dust, and fragments strictly confined to the boundaries of this house’s lot.
Critical restriction:
All surrounding buildings, roads, trees, parked cars, swimming pool area, and neighboring properties must remain completely intact, unmoved, undamaged, and unaffected.
No shockwave, no debris, no dust, no smoke, no vibration extends beyond the central house boundary.
Visual style:
Realistic controlled demolition, vertical debris movement, contained dust plume rising straight upward and dissipating quickly. No fire spread, no secondary explosions.
Cinematic realism, precise containment, no camera movement, no environmental damage outside the target building.</t>
  </si>
  <si>
    <t>TRDEC21004rev3</t>
  </si>
  <si>
    <t>https://www.dropbox.com/scl/fo/toi04xrj91beop6c8nmuh/AKTxlvVv8thFWOV3k3s3LZ0?rlkey=qw4u9upkvfysi7suo12i97mxf&amp;st=z6c4qw81&amp;dl=0</t>
  </si>
  <si>
    <t xml:space="preserve">
turn the house into a parking lot as well please dịch:
1. biến đổi ngôi nhà thành bãi đỗ xe và ko có oto nào
2. biến đổi ngôi nhà thành bãi đỗ xe và ko có oto nào</t>
  </si>
  <si>
    <t>https://www.dropbox.com/scl/fo/6kb58vf2tjknggacm9kzm/AHU5MfdSdkHYwsQEsEXO29g?rlkey=ymcrlvj5uz9zvf3eodafqfbjo&amp;st=vf9qbnr8&amp;dl=0</t>
  </si>
  <si>
    <t>https://gemini.google.com/share/09376daa9c0a</t>
  </si>
  <si>
    <t>Viết prompt tạo video từ ảnh, tôi dùng Higgsfield.ai và hiệu ứng building explosion, tạo video ngôi nhà nổ tung rồi biến đổi thành một bãi đỗ xe trống, góc cam giữ cố định</t>
  </si>
  <si>
    <t>Use the input image as the initial scene.
The house in the image, the only building located at the center of the frame, undergoes a controlled building explosion: walls and roof burst outward, realistic debris and dust rise into the air with cinematic VFX quality.
Immediately after the explosion, all debris quickly dissolves and disappears, leaving no ruins or rubble. The space then seamlessly morphs into a completely empty parking lot with a flat, clean concrete surface — no cars, no people, no objects.
The camera remains perfectly fixed throughout the entire video: no pan, no tilt, no zoom, no shake.
Lighting stays stable and consistent, shadows remain coherent, realistic colors, high photorealism.
The transition is smooth and continuous, no flicker, no jump cuts, creating the feeling of an instant spatial transformation after the explosion.</t>
  </si>
  <si>
    <t>VUJAN15005</t>
  </si>
  <si>
    <t>https://www.dropbox.com/scl/fo/oad7g613s8ae9an705lsg/AJ4ZwrQKEgIaxsSKQHNT66Y?rlkey=xtk63hml1cqkdm6fk17z6x02z&amp;st=3yk9295s&amp;dl=0</t>
  </si>
  <si>
    <t>1 :  One re-staging the living room from old style to full renovation
2 : AI nổ nhà 
xuất 4k</t>
  </si>
  <si>
    <t>https://www.dropbox.com/scl/fo/yufnhl0gy0j70van23pdx/AHrLE6EPpa-LxBMjAm24Pm0?rlkey=qgaokw7gh2aboieu4omjv66tp&amp;st=d0wx85vf&amp;dl=0</t>
  </si>
  <si>
    <t xml:space="preserve">Thay thế nội thất: https://gemini.google.com/app/7ea1f41248180198#92c58df2b3f86599 
Nổ nhà: https://gemini.google.com/app/9c6978e1cc0670a9#c23a94934f563364 </t>
  </si>
  <si>
    <t>Thay thế nội thất: viết promt để generate ảnh thành video trên higgsfield.ai, tôi dùng hiệu ứng general, tạo video chuyển cảnh từ hình ảnh căn phòng khách đồ nội thất cũ  (ảnh 1) dần chuyển sang hình ảnh đồ nội thất cũ của căn phòng ngủ đã được thay thế bằng những đồ nội thất đẹp và mới hơn (ảnh 2), từng đồ nội lần lượt xuất hiện và thay thế cho nhau, ghế vẫn là ghế, tủ vẫn là tủ, không có sự biến đổi về đồ vật và vị trí của đồ vật, góc quay cố định, không nháy đèn, không mờ hình, không rung lắc, phong cách cinematic chân thực           
Nổ nhà: có promt mẫu</t>
  </si>
  <si>
    <t>Thay thế nội thất: Create a cinematic, ultra-realistic interior renovation video from the provided images.
Scene transition:
– Start with a living room containing old furniture (Image 1)
– Gradually transition into the same room where the old furniture is replaced by newer, more beautiful furniture (Image 2)
– The transition is continuous, smooth, and seamless, with no cuts
Furniture replacement rules (very important):
– Furniture is replaced one by one, in a clear and natural sequence
– Each old item is replaced by the same type of new item
– A chair is replaced by a chair, a table by a table, a cabinet by a cabinet
– No change in object position, scale, or orientation
– No morphing between different object types
– Final state must match Image 2 exactly
Camera:
– Fixed camera, locked-off shot
– No camera movement, no zoom, no pan, no tilt
Visual quality:
– No flickering light
– No exposure pulsing
– No motion blur
– No color flashing
– No camera shake or jitter
– Sharp details and clean edges throughout
Style &amp; mood:
– Cinematic
– Ultra-realistic interior lighting
– Natural shadows and reflections
– Clean, premium, modern renovation feeling
Nổ nhà: In a quiet suburban neighborhood, a single-story house stands prominently under a moody sky, its beige facade blending into the serene landscape. Suddenly, a low rumble echoes through the air, followed by a blinding flash as the house detonates into a chaotic storm of timber and shingles. Flames surge outward and upward, painting the sky in angry reds and oranges, while shockwaves rattle the nearby windows. The surrounding trees dance wildly as debris rains down, creating an unsettling contrast between the beauty of the explosion and the devastation it leaves behind. Amidst the chaos, a solitary child’s swing set in a neighboring yard eerily sways to and fro, untouched yet haunted by the sight. As the dust settles, the camera pans to reveal the empty plot where the house once stood, a silent testament to the fleeting nature of human constructs.</t>
  </si>
  <si>
    <t>TAJAN16002</t>
  </si>
  <si>
    <t>https://www.dropbox.com/scl/fo/t92ad88z8qifr994olqld/AL92ynYM0IkbgabuRr8rCLo?rlkey=3yo7ie9las07jwo1vrzyzrupn&amp;dl=0</t>
  </si>
  <si>
    <t>AI nổ nhà như sample s1
https://www.instagram.com/p/DTb9ZDAgTS7/
===&gt; xuất 4k</t>
  </si>
  <si>
    <t>https://www.dropbox.com/scl/fi/0ylysoc3patulv4u0iwn3/TAJAN16002.mp4?rlkey=y56udn4v2mn65vs2zmbwcgh2g&amp;st=2x8j5rau&amp;dl=0</t>
  </si>
  <si>
    <t xml:space="preserve">hãy tạo video từ ảnh bằng envato từ hình ảnh này, tôi muốn ngôi nhà màu trắng ở trung tâm bức ảnh nổ tung, cả nhà phụ màu trắng và gara phía sau nó cũng nổ, chỉ có ngôi nhà và gara phía bên trái ảnh (bên trái căn nhà) không bị ảnh hưởng gì, góc quay cố định
mô tả vụ nổ
Vụ nổ bùng phát dữ dội thành một cột lửa khổng lồ với lõi màu vàng cam rực rỡ, tỏa nhiệt và ánh sáng chói lòa từ tâm ra ngoài. Bao quanh ngọn lửa là những đám khói bụi dày đặc màu nâu đất và xám xịt đang cuộn trào mạnh mẽ, cho thấy áp lực cực lớn từ bên trong. Đặc điểm nổi bật nhất của hiệu ứng này là vô số mảnh vỡ màu đen, hình chữ nhật và sắc cạnh (giống như vật liệu xây dựng) bị hất tung lên không trung theo quỹ đạo hình nón ngược, tỏa ra tứ phía như pháo hoa. Toàn bộ khối nổ toát lên vẻ hỗn loạn với động năng cực mạnh, tạo cảm giác mặt đất vừa bị xé toạc và hất tung mọi thứ lên cao trong tích tắc.
</t>
  </si>
  <si>
    <t>Create a realistic cinematic explosion using the provided image as the base frame.
The white main house located at the center of the image explodes violently, followed by the small white side building on the right and the rear garage behind the main house exploding as well.
The explosion includes realistic fireballs, debris, smoke, shockwave, flying roof fragments, and collapsing walls, all physically accurate and natural.
The house and garage on the LEFT SIDE of the image must remain completely intact and unaffected — no fire, no smoke, no debris, no vibration, no lighting change on that area.
Explosion is strictly limited to the central property only, respecting original spatial boundaries.</t>
  </si>
  <si>
    <t>MHJAN19002</t>
  </si>
  <si>
    <t>https://www.dropbox.com/scl/fo/7g5bciuusc0jn1cby84ob/AOfxCYcFvoqZLJVwoE4oKFc?rlkey=wzyy8td7m97a8g4csm8opdr23&amp;dl=0</t>
  </si>
  <si>
    <t>tạo AI cho nổ nhà, làm nổ như s1 sample
sample: https://www.instagram.com/p/DTb9ZDAgTS7/
===&gt; xuất 4k</t>
  </si>
  <si>
    <t>https://www.dropbox.com/scl/fi/rnrgqjepd38xd5hbuziu9/MHJAN19002.mp4?rlkey=ucjcp5f4s3qop8k9h3cbxkpy5&amp;st=ajd14lp2&amp;dl=0</t>
  </si>
  <si>
    <t>https://gemini.google.com/share/1edf30e6fafa</t>
  </si>
  <si>
    <t>viết prompt tạo video từ ảnh bằng higgsfield, dùng hiệu ứng general của Kling, từ hình ảnh này, tôi muốn ngôi nhà màu trắng ở trung tâm bức ảnh nổ tung, góc quay cố định 
mô tả vụ nổ
Vụ nổ bùng phát dữ dội thành một cột lửa khổng lồ với lõi màu vàng cam rực rỡ, tỏa nhiệt và ánh sáng chói lòa từ tâm ra ngoài. Bao quanh ngọn lửa là những đám khói bụi dày đặc màu nâu đất và xám xịt đang cuộn trào mạnh mẽ, cho thấy áp lực cực lớn từ bên trong. Đặc điểm nổi bật nhất của hiệu ứng này là vô số mảnh vỡ màu đen, hình chữ nhật và sắc cạnh (giống như vật liệu xây dựng) bị hất tung lên không trung theo quỹ đạo hình nón ngược, tỏa ra tứ phía như pháo hoa. Toàn bộ khối nổ toát lên vẻ hỗn loạn với động năng cực mạnh, tạo cảm giác mặt đất vừa bị xé toạc và hất tung mọi thứ lên cao trong tích tắc.</t>
  </si>
  <si>
    <t>From the provided input image, animate only the white house located at the center of the frame so that it explodes violently.
The explosion erupts suddenly and powerfully, forming a massive vertical column of fire.
The fire has a bright yellow–orange core, radiating intense heat and blinding light outward from the explosion center.
Surrounding the fire column are thick, heavy clouds of dust and smoke, colored earthy brown and dark gray, rolling and billowing violently, clearly indicating extreme internal pressure.
A defining visual feature of the explosion is a large number of black, sharp-edged, rectangular debris fragments, resembling construction materials, being violently ejected into the air.
These debris pieces shoot upward and outward in an inverted cone trajectory, scattering in all directions like fireworks, with strong kinetic energy.
The entire explosion conveys chaos, massive force, and destruction, as if the ground beneath the house has been ripped apart, hurling everything skyward in an instant.
Only the central white house is affected — all surrounding buildings, environment, and background remain unchanged.
The camera remains completely static, fixed viewpoint, no camera movement, no zoom, no pan, no tilt, no shake.
Lighting reacts physically and naturally to the explosion, with a brief intense flash followed by sustained fire illumination, no flickering, no exposure jumps.
The transition is smooth, continuous, and seamless, with no cuts or interruptions.
High realism, sharp focus, clean edges, no blur, no ghosting, no artifacts.
Strictly based on the provided input image only.
Do not add any new objects, people, vehicles, buildings, or fictional elements beyond the explosion, fire, smoke, and debris from the central house.
Cinematic large-scale explosion realism, physically accurate fire, smoke, debris, and force dynamics.</t>
  </si>
  <si>
    <t>VUJAN19005</t>
  </si>
  <si>
    <t>https://www.dropbox.com/scl/fo/fkv2zaphkwn3punwrd6df/AJOAzi6r7ejHgaVRfjnSdlA?rlkey=ig6cyklfhivzfrsc3zjlrueh7&amp;st=0hu3nzqk&amp;dl=0</t>
  </si>
  <si>
    <t>3 hiệu ứng: 
1. hiệu ứng drone ban đêm (từ xa đến gần) như đoạn đầu sample
2. hiệu ứng cảnh đêm (từ trái sang phải)
3, hiệu ứng nổ nhà: như trong sample
sample: https://www.instagram.com/reels/DPZkLHQk0Vg/
xuất 4K</t>
  </si>
  <si>
    <t>https://www.dropbox.com/scl/fo/j3l7inihnhm7946vdg5qr/AOb2qHBlWotulGkOcN2WyHU?rlkey=ic15cq1agbgrqqx2drp8efiw0&amp;st=aw0rda7b&amp;dl=0</t>
  </si>
  <si>
    <t xml:space="preserve">1. 
2. 
3. </t>
  </si>
  <si>
    <t>NGFEB05002</t>
  </si>
  <si>
    <t>làm nổ nhà 4k 5s</t>
  </si>
  <si>
    <t>https://www.dropbox.com/scl/fo/ns9cfhvbu63ni23rclxs7/AD9X_xsWiFXVEg3jh3sm_zI?rlkey=jqsa1znopa2yrkqaiwu8kigy5&amp;st=kg2qohsm&amp;dl=0</t>
  </si>
  <si>
    <t>MHFEB05008</t>
  </si>
  <si>
    <t>https://www.dropbox.com/scl/fo/jrpgy9l47a441qrtb3wh8/AIUEhHrZRYLABVdp2n03U0Y?rlkey=1g4ki18fg0cogrympx38fimw2&amp;dl=0</t>
  </si>
  <si>
    <t>- AI nổ nhà như đầu sample: https://www.instagram.com/p/DRwT-KIEmhj/
- AI day to night từ xa tới gần
==&gt; xuất 4k</t>
  </si>
  <si>
    <t>https://www.dropbox.com/scl/fo/zabsagbdlai0pj275439z/APBS-w1JwczBHwN8Ff3rWGg?rlkey=ysj4ggn4admzoizmn5i7c0rwo&amp;st=p30glz4b&amp;dl=0</t>
  </si>
  <si>
    <t>1. https://gemini.google.com/share/c607e9123986
2. https://gemini.google.com/share/1c541ca6b091</t>
  </si>
  <si>
    <t>1. viết prompt tạo video từ ảnh bằng higgsfield.ai, hiệu ứng building explosion, ngôi nhà nổ tung
2. viết prompt tạo video từ ảnh bằng envato, chuyển cảnh timelapse landscape từ ngày (ảnh 1) sang đêm (ảnh 2), góc quay từ xa tiến lại gần 1 cách ổn định, không rung lắc, hyper-cloud từ ngày sang đêm, ánh sáng bên trong phòng cũng tỏa ra khi trời tối hơn, chuyển cảnh liên tục, liền mạch, không nháy đèn, không mờ hình, không rung lắc, dựa trên 2 hình ảnh đầu vào, không tạo thêm các chi tiết hư cấu</t>
  </si>
  <si>
    <t>1. Create a cinematic building explosion from the input image.
The house remains completely intact and unchanged before the explosion.
Suddenly, the house explodes violently from the inside, bursting outward in all directions.
Windows shatter, walls break apart, roof is blown upward and outward, debris and rubble fly realistically.
Realistic fireball, thick smoke, dust cloud expanding naturally with proper physics.
Camera is fixed, no movement before explosion, add subtle cinematic camera shake only at the explosion moment.
Dramatic timing, powerful impact, brief slow-motion at the peak of the explosion, then debris falls down.
Ultra-realistic destruction, movie-quality VFX, consistent lighting and perspective from the original image.
No changes to environment except explosion effects.
2. Create a realistic landscape timelapse transition video based strictly on the two provided input images.
Scene transition:
– Start with the daytime scene exactly as shown in Image 1.
– Gradually transition into the nighttime scene exactly as shown in Image 2.
– The transition must clearly represent the passage of time from day to evening and then night.
Camera movement:
– Smooth and stable dolly-in movement, starting from a wide view and slowly moving closer.
– Camera motion must be steady and cinematic.
– No shaking, no jitter, no sudden zooms, no cuts.
Hyper-cloud behavior:
– Fast-moving, dramatic clouds across the sky, creating a hyper-cloud timelapse effect.
– Cloud motion must remain realistic and consistent with the day-to-night transition.
Lighting behavior:
– Natural, progressive changes in sky brightness and overall lighting from day to night.
– As the scene becomes darker, interior lights inside the building gradually turn on and glow naturally.
– No light flicker, no flashing, no abrupt exposure changes.
Visual quality:
– Continuous, seamless, and fluid transition with no interruptions.
– No motion blur, no image blur, no softness.
– Maintain sharp details and consistent perspective throughout the video.
Strict constraints:
– Generate the video using only the two provided input images.
– Do not add, remove, or invent any objects, people, vegetation, shadows, buildings, or environmental details.
– Preserve the exact layout, composition, and structure from the input images.</t>
  </si>
  <si>
    <t>Thắp lửa</t>
  </si>
  <si>
    <t>MNDEC05002</t>
  </si>
  <si>
    <t>https://www.dropbox.com/scl/fo/hudak8n6oznawkqqgh1h7/AOnSzfELSohDjv_Qhw6l3h0?rlkey=mklm8unfovf4c1iemrkfknuvg&amp;dl=0</t>
  </si>
  <si>
    <t>A1 làm hiệu ứng cảnh lò sưởi bật lên(có lửa), A2 làm hiệu ứng day to night, từ xa tới gần</t>
  </si>
  <si>
    <t>https://www.dropbox.com/scl/fo/jbb5z705pf68e19d2oadp/AGypWFQRifT17TLcQe4nQGk?rlkey=r8p5tw22qkynxr4n0dwdj431x&amp;st=sgrvh6ae&amp;dl=0</t>
  </si>
  <si>
    <t>TLDEC06008</t>
  </si>
  <si>
    <t>https://www.dropbox.com/scl/fo/eorlogvo34b947bybhyvy/ABXo1ryIPW8KZlQNhu1QNEc?rlkey=z6r7x0y0v8l0mby5asj3dn563&amp;dl=0</t>
  </si>
  <si>
    <t xml:space="preserve">AI thêm lửa vào bếp gas
AI day to night </t>
  </si>
  <si>
    <t>https://www.dropbox.com/scl/fo/xhp2frbg4pa9hikegm6yk/AANRww_eZWcaqKloBs2J3hY?rlkey=ns08oo4yajan6sz1h9oh2e2co&amp;st=h0pv3eca&amp;dl=0</t>
  </si>
  <si>
    <t>TLDEC08010</t>
  </si>
  <si>
    <t>https://www.dropbox.com/scl/fo/3fks1fn0yt9s01e2euuc9/AIKrFEvE2jK-Xeqee1JyFt4?rlkey=usz6lsz4y0g2rnibw1gmkfjm6&amp;dl=0</t>
  </si>
  <si>
    <t>Example video https://www.instagram.com/reel/DRPylkKEYaM/?igsh=cGo4aTZ3eTBqNWhm
Add AI Christmas decor on exterior like example video
Add AI living room and Master bedroom
Add fire to fireplace and fire to stovetop</t>
  </si>
  <si>
    <t>https://www.dropbox.com/scl/fo/im50fnqt04k7etieelpxz/AHCHZ_nT5zg3Et8ia_eTe3w?rlkey=iblouu9gc0j4q20jvci0qm175&amp;st=xlfrnle7&amp;dl=0</t>
  </si>
  <si>
    <t>TLDEC08010rev</t>
  </si>
  <si>
    <t>https://docs.google.com/document/d/1tYq3SpKsKpliFj21xk7W4tzspXJH0dDZlxD6WkZCeRs/edit?usp=sharing</t>
  </si>
  <si>
    <t>https://www.dropbox.com/scl/fo/fr2lnym568akig957z72k/AEM8yex6SljiVCg-fKkQ9mE?rlkey=s0wtz7yfa66j37psht8caesv4&amp;st=mb87hi7y&amp;dl=0</t>
  </si>
  <si>
    <t>https://www.dropbox.com/scl/fo/yfeqz1b48y32n6ac5y2sz/ALDG0H8pTO16PT2Dvv9HO_s?rlkey=8wg7i8haizojwcb93obr8vstw&amp;dl=0</t>
  </si>
  <si>
    <t>Thêm lừa</t>
  </si>
  <si>
    <t>https://www.dropbox.com/scl/fo/bctnp9a5e28flssbwuak8/ACMmiHawbSqB6QYKWvs9AYU?rlkey=yvbffnc19q8zz12dxqisrdbjy&amp;st=xw0gt65g&amp;dl=0</t>
  </si>
  <si>
    <t>QUDEC09007</t>
  </si>
  <si>
    <t>https://www.dropbox.com/scl/fo/sy0bsdfdmcbc1dgxhzfh8/AIaT1_A33OonmWupuXqXyp4?rlkey=fi100s1gf1ae6gyqaiv4lp7tw&amp;dl=0</t>
  </si>
  <si>
    <t>như tên input</t>
  </si>
  <si>
    <t>https://www.dropbox.com/scl/fo/guoxplota9u803d2ec7d0/AFAt8RJNdtmb2G0dcZ_kIDs?rlkey=ehakz8fa1vmld7lxrla3mwme6&amp;st=eh1z0prq&amp;dl=0</t>
  </si>
  <si>
    <t>CADEC11001</t>
  </si>
  <si>
    <t>https://www.dropbox.com/scl/fo/nvps1l3z4xp5wzbqjit4s/APExhS2RnrfiHMrE9Zs9ZzI?rlkey=wm13a7qvlilxqd97pwy2lo499&amp;dl=0</t>
  </si>
  <si>
    <t>Note của khách:
Please add 3 x Ai effects
1 x add fire in fireplace wit sound effect.
2 x Add people in swimming pool and outdoor drinking place like this example
https://www.instagram.com/reel/DRZfR01lcEO/?igsh=dTk3cW5xZTBkazQw
Làm chuyển động, cách xuất hiện giống sample</t>
  </si>
  <si>
    <t>https://www.dropbox.com/scl/fo/40x5o7xefxtqa1nmyqqu7/AJ-WaA4JyFmD_gkWy4lsJRk?rlkey=zb6n64t9l9y5c6x6m9ol7ry8x&amp;st=bg9qj9va&amp;dl=0</t>
  </si>
  <si>
    <t>CADEC19006</t>
  </si>
  <si>
    <t>https://www.dropbox.com/scl/fo/dwlv1hb8fej4cf9jzg2b6/AN91NlM9URE36XzYurvqF4E?rlkey=tn6z02xzl608c06a9q9r5ie0i&amp;dl=0</t>
  </si>
  <si>
    <t>Add AI fire effect in the fireplace
Add Christmas celebration elements using AI in the sky for the front shot of the house with camera movement</t>
  </si>
  <si>
    <t>https://www.dropbox.com/scl/fo/eoh1mragotvjepv7s2ftg/AK0OglztmaADa5ik0wdw41s?rlkey=3lxyo81zuj2sirihc51me5gje&amp;st=xobe71zt&amp;dl=0</t>
  </si>
  <si>
    <t>VADEC23003Rev</t>
  </si>
  <si>
    <t>https://www.dropbox.com/scl/fo/q6xq1nf251wadyswvnyzd/AIX7IT-RwJr31o3RFtdrXn8?rlkey=4det6y3jyagdjbznxo24evrde&amp;dl=0</t>
  </si>
  <si>
    <t>lò không có lửa chuyển cảnh sang lò có lửa</t>
  </si>
  <si>
    <t>https://www.dropbox.com/scl/fi/2drpd8luk4uoiydjywnbq/VADEC23003Rev.mp4?rlkey=b6kogd1r87queywt6pidjyjaf&amp;st=8wmjorx6&amp;dl=0</t>
  </si>
  <si>
    <t>https://gemini.google.com/share/bd39e35b29d5</t>
  </si>
  <si>
    <t>viết prompt tạo video từ ảnh bằng higgsfield.ai, hiệu ứng general , tạo video từ hình ảnh 1 lò sưởi không có lửa dần chuyển sang hình ảnh 2 lửa owr trong lò sưởi bất đầu được bật lên, ngọn lựa hiện lên bập bùng, nhẹ nhàng, góc quay cố định, giữ nguyên trạng thái ban ngày của ảnh, chỉ thay đổi ngọn lửa ở trong lò sưởi</t>
  </si>
  <si>
    <t>General cinematic fireplace ignition effect.
Using the provided images, create a smooth and realistic transition with a completely static, locked-off camera. Start with a fireplace that has no fire burning inside.
Gradually, a fire begins to ignite inside the fireplace. The flames appear softly and naturally, growing into a gentle, flickering fire. The flame movement is calm and subtle, with no sudden bursts or aggressive motion.
Only the fire inside the fireplace changes. The room lighting, daylight conditions, walls, furniture, shadows, and environment remain exactly the same throughout the scene.
Cinematic realism, smooth flame ignition, natural flickering behavior, no camera movement, no shake, clean and controlled visual effect.</t>
  </si>
  <si>
    <t>https://www.dropbox.com/scl/fi/7x514smzm4i0k0pypkc9h/1925-north-ct-rd1.png?rlkey=qiurcidxt83s8fd7gtc1sm313&amp;dl=0</t>
  </si>
  <si>
    <t>add fire to fire pit out back with a swing set and 2-3 kids playing outside and a mom hanging up clothes on the clothes line."</t>
  </si>
  <si>
    <t>https://gemini.google.com/share/f532ee6a7bb1</t>
  </si>
  <si>
    <t>HTJAN25004Rev</t>
  </si>
  <si>
    <t>https://www.dropbox.com/scl/fo/v4ab3t4uxqmcqx7ihy6e1/AFWtmK7AXQMHNJT49qK6tU0?rlkey=q4653iuvh5yoyhdgzcnedz9o3&amp;dl=0</t>
  </si>
  <si>
    <t>thêm hiệu ứng lò sưởi hiện ra lửa, ko có sample ạ</t>
  </si>
  <si>
    <t>https://www.dropbox.com/scl/fi/zg877h4ctxo0d6nohj22t/HTJAN25004Rev.mp4?rlkey=x27055qcr0jdxzj6tqkho5bf7&amp;st=4fpc2z1a&amp;dl=0</t>
  </si>
  <si>
    <t>hãy thêm lửa lò sưởi</t>
  </si>
  <si>
    <t>Create a cinematic transformation video from the input image.
The fireplace ignites gradually, with a soft, realistic flame building up smoothly, warm glow spreading naturally inside the firebox.
No flashing, no abrupt ignition.
Lighting remains stable and realistic throughout the transformation, with warm indoor ambient light enhanced by the fireplace glow.
Use a locked, fixed camera angle — no camera movement, no shake, no zoom.
Style: realistic, cinematic, smooth, high-end real estate interior reveal.</t>
  </si>
  <si>
    <t>NHJAN28017</t>
  </si>
  <si>
    <t>https://www.dropbox.com/scl/fo/av8bfdm0074zsew21hmrh/AF-h-JaBY728TWlVv7RPr9k?rlkey=aycs1ffgyu7b6eoasl19ui2gg&amp;dl=0</t>
  </si>
  <si>
    <t>i want an AI push in of the fireplace coming on and the light from the window moving across the frame l
ike this video: https://www.instagram.com/p/DQ-YfRBkcxp/  (khoảng giây thứ 25 ạ)</t>
  </si>
  <si>
    <t>https://www.dropbox.com/scl/fi/0iwo2syovx0jpa0h20x6a/NHJAN28017.mp4?rlkey=p0ggpbqz36cdgvzmow618q85s&amp;st=d12asopm&amp;dl=0</t>
  </si>
  <si>
    <t>TAJAN28010Rev</t>
  </si>
  <si>
    <t>https://www.dropbox.com/scl/fo/1wp4ahs2xpi11mxr3p2kj/AHJZyknFYJbZKKvbK3_dnUw?rlkey=g1k1rbcbhaxyskwtai1soc2kc&amp;dl=0</t>
  </si>
  <si>
    <t>thêm lửa ở lò sưởi</t>
  </si>
  <si>
    <t>https://www.dropbox.com/scl/fi/vy4a5br00rsr6te4abr30/TAJAN28010Rev.mp4?rlkey=cjoaaexzanwpnfn20amxr6ax2&amp;st=6pbrr850&amp;dl=0</t>
  </si>
  <si>
    <t>https://gemini.google.com/share/fd272387be00</t>
  </si>
  <si>
    <t>viết prompt tạo video từ ảnh bằng higgfield.ai, tôi dùng general của kling, tạo video từ một lò sưởi bắt đầu được bật lên, ngọn lửa nhẹ nhàng, ngọn lửa luôn giữ nguyên kích thước ban đầu không lan rộng, góc quay cố định</t>
  </si>
  <si>
    <t xml:space="preserve">Create a realistic, cinematic animation based strictly on the input image.
The camera remains completely static and fixed, with no movement, no zoom, and no reframing.
A fireplace gently turns on and begins burning with soft, natural flames.
The flame size remains constant and stable throughout the animation, never growing, spreading, or changing scale.
Flame movement is subtle, smooth, and continuous, with realistic flickering behavior.
Firelight softly illuminates the surrounding area with warm, gentle light.
Preserve the original fireplace structure, materials, and position exactly as shown in the input image.
Do not add or remove logs, fire elements, smoke, sparks, or embers beyond what is visible in the image.
No deformation, no warping, no stretching of any objects.
Lighting changes are gradual and realistic, with no exposure jumps.
No flickering artifacts, no flashing, no camera shake, no motion blur, no jitter.
Strict temporal consistency, stable flame geometry, smooth cinematic motion.
</t>
  </si>
  <si>
    <t>CHJAN30003</t>
  </si>
  <si>
    <t>https://www.dropbox.com/scl/fo/sgcw6rlccs7o7mja7tz6o/AD1x9mbSFtk7MT8OmhTaCnY?rlkey=jy5p50v1u5wivaz0sch7xpdot&amp;dl=0</t>
  </si>
  <si>
    <t>1 cảnh add lửa – khu vực fire pit
1 cảnh virtual twilight – mặt trước ngôi nhà
Làm vừa phải, tự nhiên, không bị giả
xuất 4k</t>
  </si>
  <si>
    <t>https://www.dropbox.com/scl/fo/xpp5lrpkws659bqe025wf/AKfKUyBNtDTOXGClT8nyoFk?rlkey=okgs1v159740885nzdha9ioo4&amp;st=xb818jur&amp;dl=0</t>
  </si>
  <si>
    <t>THJAN30039</t>
  </si>
  <si>
    <t>https://www.dropbox.com/scl/fo/ng3bx4mv6wtdh40j8uw7o/AFok1oEdgmJF3fcunMxxiaY?rlkey=iadq9cmm6bqum53333sux5v9a&amp;dl=0</t>
  </si>
  <si>
    <t>Thêm lửa vào lò, đồng thời tạo chuyển động cho người đang hơ tay ở lửa (chỉ hơ tay, ko làm gì khác)
Ren 4k</t>
  </si>
  <si>
    <t>https://www.dropbox.com/scl/fi/j5vm260cope7si8rpfxtq/THJAN30039.mp4?rlkey=scx42ubhufq7xroo78t7kf8c5&amp;st=u6mkecyk&amp;dl=0</t>
  </si>
  <si>
    <t>https://gemini.google.com/share/7d3abde5c141</t>
  </si>
  <si>
    <t>viết promt để generate ảnh thành video trên higgsfield.ai, tôi muốn lửa cháy bập bùng, người đang xoa xoa 2 tay vào nhau và hơ ấm</t>
  </si>
  <si>
    <t>A calm, cinematic scene focused on a fireplace.
The fire burns and flickers naturally, with soft dancing flames, glowing embers, and warm, steady firelight.
A person is positioned near the fireplace, rubbing both hands together and holding them toward the fire to warm up.
The hand movement is subtle and realistic: gentle rubbing, slight forward motion toward the heat, relaxed and natural timing.
Warm firelight illuminates the person’s hands and nearby surfaces.
Light and shadows shift softly in response to the flickering flames, creating a cozy, intimate atmosphere.
All motion is smooth and continuous — no sudden gestures, no abrupt changes.
The scene remains stable and cinematic throughout, with natural fire behavior and believable human motion.</t>
  </si>
  <si>
    <t>QUJAN31001</t>
  </si>
  <si>
    <t>https://www.dropbox.com/scl/fo/ptglk1r25t51b52svcjx7/AF0mQzjssLHLSE69BrmlT-Y?rlkey=sg3zqws0uruujbzyob7502zgh&amp;st=zq34ikgo&amp;dl=0</t>
  </si>
  <si>
    <t>thêm lửa vào lò sưởi di chuyển từ xa đến gần 
xuất 4k</t>
  </si>
  <si>
    <t>https://www.dropbox.com/scl/fi/9f07snt5fw1izakzn5i89/QUJAN31001.mp4?rlkey=0e7uij31iogca0svfj5amja63&amp;st=ef33hruz&amp;dl=0</t>
  </si>
  <si>
    <t>hãy thắp lửa lò sưởi</t>
  </si>
  <si>
    <t>sửa từ prompt cũ</t>
  </si>
  <si>
    <t>The camera opens on a still, sunlit room; the fireplace stands silently against the wall, its potential warmth hidden. The Steadicam glides slowly forward, the silence breaking as a soft, orange glow begins to flicker into existence within the hearth. The scene comes alive as flames dance gracefully, casting playful shadows and illuminating the room with a cozy ambiance. The camera holds the scene, capturing the inviting warmth and gentle crackle. As the flames settle into a steady burn, the room feels both familiar and alive. The final image captures this moment of transformation, leaving a lasting sense of comfort and tranquility.</t>
  </si>
  <si>
    <t>QUJAN310010</t>
  </si>
  <si>
    <t>https://www.dropbox.com/scl/fo/ut9g6v9qkz3skf932xa69/AJJz-AtAS4CvbaCQM1v1C2I?rlkey=8nl89jrh3lkbk3s3z9qnbbxu0&amp;dl=0</t>
  </si>
  <si>
    <t>thêm lửa cho lò sưởi
==&gt; Xuất 4K</t>
  </si>
  <si>
    <t>https://www.dropbox.com/scl/fi/wiukyxwo4y4yrqi2d7lp9/QUJAN310010.mp4?rlkey=9y4oxymolxq3ewk858sbtyh4l&amp;st=v7ruwxbg&amp;dl=0</t>
  </si>
  <si>
    <t>hãy thắp lửa cho lò sưởi</t>
  </si>
  <si>
    <t>The camera opens on a still, sunlit room; the fireplace stands silently against the wall, its potential warmth hidden. The silence breaking as a soft, orange glow begins to flicker into existence within the hearth. The scene comes alive as flames dance gracefully, casting playful shadows and illuminating the room with a cozy ambiance. The camera holds the scene, capturing the inviting warmth and gentle crackle. As the flames settle into a steady burn, the room feels both familiar and alive. The final image captures this moment of transformation, leaving a lasting sense of comfort and tranquility.</t>
  </si>
  <si>
    <t>Dựng nhà theo phần</t>
  </si>
  <si>
    <t>DUDEC01003</t>
  </si>
  <si>
    <t>https://www.dropbox.com/scl/fo/nfp0hlrxgalnqdmags0ig/AJvS_bkKaudc-R48UJB7DQY?rlkey=84nvsgqczdoab23zle2r7ht6e&amp;dl=0</t>
  </si>
  <si>
    <t>Use two inputs from the drone footage to create an AI video rendering of a potential home that could be built on top of this land</t>
  </si>
  <si>
    <t>https://www.dropbox.com/scl/fi/es88je1dgqt8e8s0q0wa7/DUDEC01003.mp4?rlkey=yvn3x5wld9xnrgwt32bwqy9ac&amp;st=9bjmdzn8&amp;dl=0</t>
  </si>
  <si>
    <t>DUDEC01003Rev</t>
  </si>
  <si>
    <t>xây nhà từ đất trống, cố gắng tận dụng tối đa khoảng trống của mảnh đất giúp e ạ</t>
  </si>
  <si>
    <t>https://www.dropbox.com/scl/fi/pkt7f97du9w0eikdq79gg/DUDEC01003Rev.mp4?rlkey=omtlz8d7yqv6zshuz7jxankrc&amp;st=816q1ehl&amp;dl=0</t>
  </si>
  <si>
    <t>HTDEC02019</t>
  </si>
  <si>
    <t>https://www.dropbox.com/scl/fo/mdibptnqk79xooudalpin/AKlvXg7TmBRiFCerjp8CqPw?rlkey=kbdrlrk69dfjw7ycawbwu8ixv&amp;dl=0</t>
  </si>
  <si>
    <t>https://www.instagram.com/p/DQsbaW9D2N0/?hl=en
 làm hiệu ứng xây nhà giúp mình</t>
  </si>
  <si>
    <t>https://www.dropbox.com/scl/fi/5ceo70z3ctezydykekklq/HTDEC02019.mp4?rlkey=nmk3up1xp09pmsv3vnf7oyxpm&amp;st=ia5ixnpv&amp;dl=0</t>
  </si>
  <si>
    <t>CADEC24012</t>
  </si>
  <si>
    <t>https://www.dropbox.com/scl/fi/zzu49dcecqmemrgpstk6x/before.jpg?rlkey=086owpgt980aemlz9zu1yy66i&amp;e=1&amp;dl=0</t>
  </si>
  <si>
    <t>add AI to it if possible where you can show an empty lot and then have the waterpark re-appear. Bạn làm hiệu ứng xây dựng waterpark giúp mình nhé</t>
  </si>
  <si>
    <t>https://www.dropbox.com/scl/fi/8pf8wg7bg7hzppt1xuopu/CADEC24012.mp4?rlkey=aj4iob2dij0qujjoovbqu0sjf&amp;st=3f5jmygp&amp;dl=0</t>
  </si>
  <si>
    <t>tạo hình ảnh một công viên nước đã được xây dựng hoàn chỉnh trên lô đất đang xây công viên nước dở dang này</t>
  </si>
  <si>
    <t>Viết prompt tạo video từ ảnh, tôi dùng Higgsfield.ai và hiệu ứng general, tạo video một công trình công viên nước được xây dựng từng phần từ một lô đất trống, video duy trì ánh sáng cố định, độ chân thực cao với các phương tiện xây dựng công trình như thể có một đội thi công đã hoàn tất nó</t>
  </si>
  <si>
    <t>Transform the empty land into a fully completed water park construction in a realistic and believable way.
The scene starts with a vacant construction site and gradually builds up step by step: ground leveling, concrete foundations forming, steel structures rising, water slides assembling, pools appearing, filtration systems and pipes installed, decorative elements added last.
Maintain fixed camera position and consistent lighting throughout the entire video, no time-of-day change.
Show subtle construction activity effects: excavators, cranes, trucks, workers implied through movement of materials (without focusing on faces), dust particles, concrete pouring, scaffolding appearing and disappearing naturally.
The transformation feels like a professional construction team completed the project in accelerated time.
High realism, accurate scale, realistic materials, smooth object appearance, no flicker, no warping, no melting.
Cinematic realism, stable perspective, natural shadows, physically correct lighting, seamless construction progression.</t>
  </si>
  <si>
    <t>VAJAN19003Rev</t>
  </si>
  <si>
    <t>https://www.dropbox.com/scl/fo/nkkpv8htjc0vurs87zbu8/ALoEhf9j68a5MkhZUiuJiHs?rlkey=b3fun5qq4op7ra9h4t22fsi2q&amp;dl=0</t>
  </si>
  <si>
    <t>5. This is a big one! 0:18 - 0:21 We were expecting a grand AI home creation. not a simple transition to the picture. Please look at the example video we have. The home is suppose to basically build onto the existing land.</t>
  </si>
  <si>
    <t>https://www.dropbox.com/scl/fo/jnx0nk0kn14vw98xm2is9/AMfEsNzLlOQ3ENAhahw2NnA?rlkey=a1al6inaaz6pvlve8jlqd47yz&amp;st=rnnbedb5&amp;dl=0</t>
  </si>
  <si>
    <t>QUJAN19003Rev2</t>
  </si>
  <si>
    <t>https://www.dropbox.com/scl/fo/jadl0116gwymih32uftox/AAoENHISC372VSCR9PqMR6U?rlkey=tifm5ucj9qknmswa4ud5mrya6&amp;dl=0</t>
  </si>
  <si>
    <t>"Deadline 17h 20/1/2026 Derick Alderman  (35 files)
Dựng nhà và cảnh quan trên khu đất trống trong clip “HOUSE SHOT_0972_D”
Làm AI dựa   trên một trong những hình ảnh tham khảo đã gửi (luxury barndominium), đồng thời video này cũng có hiệu ứng timelapse ban đêm với bầu trời đầy sao mà chúng tôi mong muốn. 
 https://www.instagram.com/p/DSdGo4Tjwff/ 
chọn ảnh trong file khách đưa rồi thêm vào khu đất đó, trời sao trong sample</t>
  </si>
  <si>
    <t>https://www.dropbox.com/scl/fi/r6xb84o85g3w930uilv5d/QUJAN19003Rev2.mp4?rlkey=1bq8dge6oblhieqg9der98j9d&amp;st=fl1i3dob&amp;dl=0</t>
  </si>
  <si>
    <t>higg: ninjajoseph6@kakaveo3.io.vn</t>
  </si>
  <si>
    <t>Create a cinematic timelapse video based on the provided images.
Scene setup:
Start from a wide, empty land landscape (Image 1), daytime, clear sky. The camera is completely fixed, no pan, no tilt, no zoom.
Construction timelapse:
A realistic architectural timelapse where the house is gradually built from the ground up on the empty land.
Foundation appears first
Walls rise smoothly
Roof, windows, doors, and exterior details are added step by step
The house shape, proportions, and position must exactly match Image 2
No object distortion, no shape morphing, no position shifting
Day to night transition:
As the construction completes, the scene smoothly transitions from daytime to nighttime.
Sky color gradually darkens
Natural light fades realistically
Warm interior and exterior house lights turn on subtly
Night landscape &amp; Milky Way:
The night sky evolves into a clear starry sky with a visible Milky Way galaxy, matching Image 2.
Stars slowly appear
Milky Way becomes brighter and more defined
Landscape remains stable and unchanged
Visual style:
Ultra-realistic
Cinematic lighting
Smooth, continuous motion
No flickering
No camera shake
No motion blur
No flashing exposure
Camera:
Fixed camera, locked-off shot, identical framing throughout the entire video.
Overall feeling:
Professional architectural visualization, realistic construction timelapse combined with cinematic day-to-night landscape transition.</t>
  </si>
  <si>
    <t>VAJAN19003Rev2</t>
  </si>
  <si>
    <t>https://www.dropbox.com/scl/fo/6l56nt43c4ty5lc25v2gd/ACn82hbHPBk5KwbRLRm8SV0?e=1&amp;fbclid=IwY2xjawPdZiRleHRuA2FlbQIxMABicmlkETFQWDd4ZWhmTUFVYzNKNEVTc3J0YwZhcHBfaWQQMjIyMDM5MTc4ODIwMDg5MgABHl9NEf2jCecVDUKDlsNo8_2O1cbfcUMCNOREqFNVwfiaCOmZYu3-_gHMRvP1_aem_3YPuJYYcxxGLrmMt6IVYDg&amp;rlkey=k48ob99bcoc4ebxtcefm6p4yi&amp;dl=0</t>
  </si>
  <si>
    <t>làm xuất hiện thành nhà như sample ở input nhưng cho khu nhà to hơn
chuyển động từ gần ra xa
xuất 4K</t>
  </si>
  <si>
    <t>https://www.dropbox.com/scl/fi/zqeq0klepqef0aei4xdbz/VAJAN19003Rev2.mp4?rlkey=77mz9rsye4fz9nwwq3irm0mcz&amp;st=5x9tjcov&amp;dl=0</t>
  </si>
  <si>
    <t>https://gemini.google.com/u/2/app/e5fea0f6c1210c23#067066a69e5222b7</t>
  </si>
  <si>
    <t>Viết prompt tạo video từ ảnh, tôi dùng Higgsfield.ai và hiệu ứng general, tạo video một ngôi nhà to đẹp được xây dựng từng phần từ lô đất trống, xây dựng từng phần từ khi bắt đầu cho đến khi hoàn thiện, video duy trì ánh sáng cố định, độ chân thực cao với các phương tiện xây dựng công trình như thể có một đội thi công đã hoàn tất nó, máy quay chuyển động từ gần ra xa, góc cam cố định, không có sự xuất hiện của máy móc, ngôi nhà chỉ từ lô đất trống rồi được xây dựng từng phần</t>
  </si>
  <si>
    <t>Create a realistic video of a large, beautiful house being built step by step on an empty plot of land. The construction progresses naturally from the ground up until the house is fully completed. Include realistic building elements, as if a construction team has finished it, but do not show any construction machinery or workers. Maintain consistent lighting throughout the video. The camera starts close to the plot and slowly moves backward to reveal the entire house, keeping a fixed angle. The scene should be highly realistic, with no added fictional elements. Focus on smooth, continuous construction progress from empty land to finished house</t>
  </si>
  <si>
    <t>THJAN20034Rev</t>
  </si>
  <si>
    <t>https://www.dropbox.com/scl/fo/zfp29ydcbia3m4b1jfghv/AFWQjXu0CLhzs5ytzO16-j0?rlkey=j9w3t1ajq0trwjhuybl5fzvxi&amp;dl=0</t>
  </si>
  <si>
    <t>note:
https://docs.google.com/document/d/1AEiMG9tbmHeIPo_bGSWnWo9rgWbPpNtlosh6sphSBFY/edit?usp=sharing"</t>
  </si>
  <si>
    <t>https://www.dropbox.com/scl/fi/0odl9rfd74uh2vkeilpl3/THJAN20034Rev.mp4?rlkey=kp71zw8h71pt3ccdqcc1qdk6k&amp;st=fe2fd0mx&amp;dl=0</t>
  </si>
  <si>
    <t xml:space="preserve">envato: hoang.dangtc@gmail.com
</t>
  </si>
  <si>
    <t>thêm 1 căn nhà với mô tả sau vào vị trí được khoanhh đỏ
Kiểu dáng: Ngôi nhà có thiết kế hình khối chữ L, nổi bật nhất là phần nhà xưởng/kho lớn với cửa cuốn rộng kiểu hangar, phù hợp để chứa máy móc, thiết bị hoặc làm xưởng sản xuất.
Mái nhà: Sử dụng hệ mái tôn mạ kẽm màu xám sáng, có độ dốc vừa phải giúp thoát nước tốt. Trên mái có lắp các quả cầu thông gió để giải nhiệt cho không gian bên trong.
Tường: Sơn màu trắng kem chủ đạo, phần chân tường được ốp vật liệu màu xám trung tính, tạo cảm giác sạch sẽ và vững chãi.
Chi tiết ngoại thất
Cửa sổ: Các cửa sổ nhỏ được bố trí đều quanh nhà với điểm nhấn là bộ cánh phong cách (shutters) màu đỏ đậm, tạo nên nét mộc mạc và bắt mắt.
Hiên nhà: Một phần của ngôi nhà có hàng hiên nhỏ với các cột gỗ đơn giản, tạo không gian chuyển tiếp nhẹ nhàng giữa trong nhà và ngoài trời.</t>
  </si>
  <si>
    <t>viết prompt tạo video từ ảnh bằng envato, ngôi nhà farm shop (ảnh 2) được xây dựng trên bãi đất trống cạnh ngôi nhà ở ảnh 1 (ảnh 1), góc quay cố định</t>
  </si>
  <si>
    <t>Create a realistic construction transition video based on the provided images.
Starting from Image 1, show a vacant empty land area located next to the existing house, with no buildings on it at the beginning.
Gradually construct the farm shop shown in Image 2 on that empty land, clearly demonstrating the building process step by step until the farm shop is fully completed.
The existing house from Image 1 must remain completely unchanged throughout the entire video.
Use a fixed camera angle with no camera movement — no pan, tilt, zoom, dolly, rotation, or shake.
The construction sequence must be smooth, continuous, and seamless, with no sudden jumps or visual interruptions.
Ensure stable lighting, consistent exposure, and sharp image quality at all times.
There must be no flickering, no flashing lights, no motion blur, and no image distortion.
Generate the video strictly based on the two provided input images only, using Image 1 as the starting state and Image 2 as the final state.
Do not add, remove, or invent any fictional elements, objects, buildings, people, vehicles, weather effects, or environmental details beyond what appears in the input images.</t>
  </si>
  <si>
    <t>HAJAN27010</t>
  </si>
  <si>
    <t>https://www.dropbox.com/scl/fo/174j0hn3ebaikwyiwiyco/AE3-jiBz0AxOb0wr8V98Rks?rlkey=ggxkdhcpykimc97qn5zeie914&amp;dl=0</t>
  </si>
  <si>
    <t>Apply an AI effect showing the home building from the ground up or appearing as if it’s being constructed</t>
  </si>
  <si>
    <t>https://www.dropbox.com/scl/fi/7mc42298l9s2teezrif2h/HAJAN27010.mp4?rlkey=vb7bvzazeuolrnashgmsaqhte&amp;st=r5is8gwp&amp;dl=0</t>
  </si>
  <si>
    <t>Viết prompt tạo video từ ảnh, tôi dùng Higgsfield.ai và hiệu ứng general, tạo video một ngôi nhà được xây dựng từng phần từ lô đất trống, xây dựng từng phần từ khi bắt đầu cho đến khi hoàn thiện, video duy trì ánh sáng cố định, độ chân thực cao với các phương tiện xây dựng công trình như thể có một đội thi công đã hoàn tất nó, máy quay chuyển động từ gần ra xa, góc cam cố định, không có sự xuất hiện của máy móc, ngôi nhà chỉ từ lô đất trống rồi được xây dựng từng phần, máy quay giữ cố định không di chuyển</t>
  </si>
  <si>
    <t>A realistic cinematic construction timelapse of a modern house being built from an empty land.
The video starts with a completely empty flat land.
Then the house gradually appears and builds itself in stages: foundation forms, walls rise, roof appears, windows and doors install, exterior finishes complete, until the fully finished house stands on the land.
No construction machines or workers are visible at any time.
The building process happens smoothly as if an invisible team is constructing it.
Lighting remains constant throughout the entire video, no flicker, no exposure change.
Camera is fixed, no camera movement, no zoom, no shake.
Perspective and framing remain identical from start to end.
High realism, natural materials, realistic shadows.
Smooth transformation, no sudden jumps, no flashing, no glitch.
Final scene shows a fully completed house on the land.</t>
  </si>
  <si>
    <t>NGJAN23007Rev4</t>
  </si>
  <si>
    <t>https://www.dropbox.com/scl/fo/t0vp6qyjxagcu07enury3/ALG8vrkYRpSMdr7t_ZzVVlw?rlkey=bug58m05r1bxummugf7lqwvft&amp;dl=0</t>
  </si>
  <si>
    <t>Mọc nhà đã có ảnh trong link input không để có xe cộ di chuyển trong video AI(từ trái qua phải)</t>
  </si>
  <si>
    <t>https://www.dropbox.com/scl/fi/dx6cbxl55t4y125rw0akj/NGJAN23007Rev4.mp4?rlkey=9lw7i4g64by4g78jklqnbutp5&amp;st=unmujg43&amp;dl=0</t>
  </si>
  <si>
    <t>tạo một ngôi nhà mọc lên từ mặt đất, để thêm cỏ xanh và hồ bơi xung quanh ngôi nhà  các chi tiết các chi tiết khác của ảnh giữ nguyên, tuyệt đối không thay đổi kích thươc 9:16 của ảnh, góc cam cố định</t>
  </si>
  <si>
    <t>Viết prompt tạo video từ ảnh, tôi dùng Higgsfield.ai và hiệu ứng general, tạo video một ngôi nhà được xây dựng từng phần từ lô đất trống, xây dựng từng phần từ khi bắt đầu cho đến khi hoàn thiện, video duy trì ánh sáng cố định, độ chân thực cao với các phương tiện xây dựng công trình như thể có một đội thi công đã hoàn tất nó, máy quay chuyển động từ gần ra xa, góc cam cố định, không có sự xuất hiện của máy móc, không có sự xuất hiện của ô tô, xe cộ, ngôi nhà chỉ từ lô đất trống rồi được xây dựng từng phần, máy quay di chuyển nhẹ nhàng</t>
  </si>
  <si>
    <t>A highly realistic cinematic construction sequence of a house being built from an empty land.
The video starts with a clean empty plot of land.
The house gradually builds itself in visible stages: foundation forming, walls rising, roof assembling, windows and doors appearing, exterior finishing, until a fully completed house stands on the land.
No workers, no machines, no vehicles, no construction equipment appear at any time.
The building process looks as if an invisible construction team completed it.
Lighting remains constant and stable throughout the entire video.
Camera slowly moves backward from a closer view to a wider view, smooth dolly-out motion.
Camera angle remains fixed, no tilt, no pan, no shake.
High realism, natural shadows, realistic materials.
Smooth continuous transformation, no flicker, no flashing, no sudden jumps.</t>
  </si>
  <si>
    <t>HAJAN27010rev</t>
  </si>
  <si>
    <t>https://www.dropbox.com/scl/fo/jztx16zt9b6fq9qthomkm/AHFNmlexudlboOgqdmBpIAA?rlkey=kh45msm84g0xezgsl40y5nk7k&amp;dl=0</t>
  </si>
  <si>
    <t>xây nhà từ đất trống giống như này ạ, giữ nguyên hiệu ứng giúp em ạ 
https://www.dropbox.com/scl/fi/7mc42298l9s2teezrif2h/HAJAN27010.mp4?e=1&amp;fbclid=IwY2xjawPlxUZleHRuA2FlbQIxMABicmlkETFJQjFoenRQaWk5Vnl3THZac3J0YwZhcHBfaWQQMjIyMDM5MTc4ODIwMDg5MgABHj0YgGTa44KDpsY8Cpod_sw08osns-YcUKqWNKPhcbh3UealeGXVEA-cWFBU_aem_msFXOiK9IO3R397Tiwa08g&amp;rlkey=vb7bvzazeuolrnashgmsaqhte&amp;st=r5is8gwp&amp;dl=0</t>
  </si>
  <si>
    <t>https://www.dropbox.com/scl/fi/vf8szoet0bkegxtujt9py/HAJAN27010rev.mp4?rlkey=2bblxo5zpv4qqcm9y2dn07d4z&amp;st=iphforn1&amp;dl=0</t>
  </si>
  <si>
    <t>CHJAN29003</t>
  </si>
  <si>
    <t>https://www.dropbox.com/scl/fo/24dl8g1xjwadgnqo0itul/AJCZt_GDUSv8hgDc3JOQTMU?rlkey=y5u2vu9cseym1zr56aue254ia&amp;dl=0</t>
  </si>
  <si>
    <t>1.ENTRANCE (LỐI VÀO)
(Vui lòng thêm AI với cảnh quan cây xanh)
2. add a massive house 9,000 sq ft
Thêm một căn nhà lớn (~9.000 ft²)
cho em hiệu ứng zoom in vào, 1 đến 2 ( 1-2 )</t>
  </si>
  <si>
    <t>https://www.dropbox.com/scl/fo/9hyjp1r6sie4dgj5t16ur/AOkrFE6FhviWbj_DrG5xv_I?rlkey=j9iy8o30s68taowxbbh19gjjy&amp;st=yo7m38nr&amp;dl=0</t>
  </si>
  <si>
    <t>1. dùng ảnh input
2. https://gemini.google.com/share/702e67061f8a</t>
  </si>
  <si>
    <t>Create a smooth cinematic transition video between Image 1 and Image 2, based strictly on the provided input images.
The camera behaves like a stabilized FPV drone, slowly and steadily flying forward toward the flower bed.
The movement is gentle, controlled, and continuous, with a natural forward push-in motion and no sudden acceleration.
The transition from Image 1 to Image 2 happens seamlessly as the drone approaches closer, maintaining consistent perspective and scale.
Camera motion must be perfectly stabilized, with no shake, no jitter, no wobble, and no abrupt direction changes.
Preserve the original composition, object positions, and proportions from the input images; do not add, remove, or invent any elements.
Motion should be fluid and cinematic, with clean edges, no warping, no flicker, and no motion blur artifacts.
High realism, consistent depth, professional FPV cinematic quality.</t>
  </si>
  <si>
    <t>LIJAN29015</t>
  </si>
  <si>
    <t>https://www.dropbox.com/scl/fo/pzydvjadt44b9w4d8hvns/AGQTP0whYgMZF4dc16n4xX8?rlkey=p9gywb5xg8xju0bn8lnic78wr&amp;dl=0</t>
  </si>
  <si>
    <t>dỡ nhà hiện tại và thêm nhà mới vào, cả 3 AI đều như vậy nhé ạ</t>
  </si>
  <si>
    <t>https://www.dropbox.com/scl/fo/zqg0jjgp25fcq43rz60sx/AONXXq9SIxSbMkXHq4Rw6fI?rlkey=d64pm3yz8g9tbup49ya3s7g8y&amp;st=kybcy53m&amp;dl=0</t>
  </si>
  <si>
    <t xml:space="preserve">xoá ngôi nhà to đằng trước đi đi và thay thế cho tôi bằng ngôi nhà mới đẹp hơn ở vị trí đó,  các chi tiết khác giữ nguyên, góc cam cố định, tuyệt đối không thay đổi kích thước 9:16 của ảnh
</t>
  </si>
  <si>
    <t>Viết prompt tạo video từ ảnh, tôi dùng Higgsfield.ai và hiệu ứng general, tạo video một ngôi nhà được xây dựng từng phần từ lô đất trống, xây dựng từng phần từ khi bắt đầu cho đến khi hoàn thiện, video duy trì ánh sáng cố định, độ chân thực cao với các phương tiện xây dựng công trình như thể có một đội thi công đã hoàn tất nó, máy quay cố định không di chuyển, góc cam cố định, không có sự xuất hiện của máy móc, ngôi nhà chỉ từ lô đất trống rồi được xây dựng từng phần, máy quay giữ cố định không di chuyển
Viết prompt tạo video từ ảnh, tôi dùng Higgsfield.ai và hiệu ứng general, tạo video 2 ngôi nhà được xây dựng đồng thời từng phần từ lô đất trống, xây dựng từng phần từ khi bắt đầu cho đến khi hoàn thiện, video duy trì ánh sáng cố định, độ chân thực cao với các phương tiện xây dựng công trình như thể có một đội thi công đã hoàn tất nó, máy quay di chuyển từ xa lại gần, góc cam cố định, không có sự xuất hiện của máy móc, ngôi nhà chỉ từ lô đất trống rồi được xây dựng từng phần, 2 ngôi nhà phải được xây dựng đồng thời
Viết prompt tạo video từ ảnh, tôi dùng Higgsfield.ai và hiệu ứng general, tạo video 2 ngôi nhà được tháo dỡ từng phần xong và trở thành lô đất trống, video bắt đầu từ căn nhà hoàn thiện sau được được dỡ ra từ từ và trở về khu đất trống , video duy trì ánh sáng cố định, độ chân thực cao với các phương tiện xây dựng công trình như thể có một đội thi công đã hoàn tất nó, máy quay di chuyển từ xa lại gần, góc cam cố định, không có sự xuất hiện của máy móc, 2 ngôi nhà phải được dỡ ra đồng thời</t>
  </si>
  <si>
    <t>A highly realistic cinematic construction sequence of a house building itself from an empty plot of land.
The video starts with a completely empty land.
The house gradually appears and constructs itself in stages: foundation forming, walls rising, roof assembling, windows and doors appearing, exterior finishing, until a fully completed house stands on the land.
No people, no workers, no machines, no vehicles, no construction equipment appear at any time.
The construction looks as if done by an invisible crew.
Lighting remains constant throughout the entire video.
Camera is completely static, fixed position, fixed angle.
No camera movement, no zoom, no shake.
High realism, natural shadows, realistic materials.
Smooth continuous transformation, no flicker, no flashing, no glitch.
A highly realistic cinematic construction sequence of two houses being built simultaneously from an empty plot of land.
The video starts with a clean empty land.
Two houses gradually build themselves at the same time in synchronized stages: foundations forming, walls rising, roofs assembling, windows and doors appearing, exterior finishing, until both houses are fully completed.
No people, no workers, no machines, no vehicles, no construction equipment appear at any time.
The construction looks as if done by an invisible crew.
Lighting remains constant throughout the entire video.
Camera smoothly moves forward from a distant view to a closer view (slow dolly-in).
Camera angle remains fixed, no pan, no tilt, no shake.
High realism, natural shadows, realistic materials.
Smooth continuous transformation, no flicker, no flashing, no glitch.
"A hyper-realistic video of two houses being simultaneously deconstructed piece by piece until they become empty plots of land. The video starts from fully built houses, and gradually the houses disappear in a detailed, realistic manner, showing the process of deconstruction as if a professional team has completed it. Construction equipment or machinery is not visible. Lighting remains consistent throughout the scene. The camera moves smoothly from a distant view toward the houses, maintaining a fixed angle without shaking or abrupt motions. Both houses are deconstructed at the same time, with attention to realistic textures, shadows, and structural details, cinematic and photorealistic style."</t>
  </si>
  <si>
    <t>DUJAN30008</t>
  </si>
  <si>
    <t>https://www.dropbox.com/t/xVDOSeXI9ujc6Wlr</t>
  </si>
  <si>
    <t>xây thêm 1-2 căn nhà và làm timelap quá trình xây dựng đến khi hoàn tất</t>
  </si>
  <si>
    <t>https://www.dropbox.com/scl/fi/2og3tymvnhhefrpjyuhq3/DUJAN30008.mp4?rlkey=817n481bf7vsx25i7pyofjmmb&amp;st=ugks6uj3&amp;dl=0</t>
  </si>
  <si>
    <t>https://gemini.google.com/share/1c98f689c98a</t>
  </si>
  <si>
    <t>ko có</t>
  </si>
  <si>
    <t>LIFEB02008</t>
  </si>
  <si>
    <t>https://www.dropbox.com/scl/fo/0qmgue1m7gf6j0iwnwvu3/AGhQBxO2_mxZ6rXacIFJFz0?rlkey=nymt0vygoes6iye1cmf67c1p4&amp;dl=0</t>
  </si>
  <si>
    <t xml:space="preserve">ảnh 1: timelapes day to night 
ảnh 2: I like the home build effect (xây nhà) </t>
  </si>
  <si>
    <t>https://www.dropbox.com/scl/fo/i1c6ngby8pax2xye4halr/AM7dxcVJ_HDqsnBK9NpEXjY?rlkey=eeel2fbn0ru7lkwmvjt6wx76e&amp;st=t8s7vamx&amp;dl=0</t>
  </si>
  <si>
    <t>https://gemini.google.com/share/215be704096e
https://gemini.google.com/share/f77c60c1cd12</t>
  </si>
  <si>
    <t>HUFEB03011</t>
  </si>
  <si>
    <t>https://www.dropbox.com/scl/fo/7wotfzjby6dzxi6lp7e63/AMYRoDSm9BzU5SyGOAUjY38?rlkey=bx082x87ommyxyto6ihr9byml&amp;st=qpiotwlu&amp;dl=0</t>
  </si>
  <si>
    <t>2 AI AI construction progression / timelapse
- Note của khách cũng như sample ( Hey! Sending over footage of two empty lots, filmed in log.
What I’m looking for is a standard edit, somewhere around 30 seconds maybe of a conceptual visualization edit that helps show what could be built on each land. The idea is to showcase the lots as-is, then with AI, show a luxury Spanish-style home as an example concept.
Client wants the property shown from a corner-angle perspective, not straight-on for one of the lots. On the other lot it can be straight on.
If possible, include ai construction progression / timelapse with construction vehicles to sell the scale and vision. See example in the beginning of this video below
https://www.instagram.com/reel/DQ-niQYkq39/?igsh=NTc4MTIwNjQ2YQ==
) 
- ren 4k giúp em</t>
  </si>
  <si>
    <t>https://www.dropbox.com/scl/fo/m520pgr51vga3m5qh9hwv/AKv8kC4M7G9wDNEviA0kEzM?rlkey=injvnruegtfh4mjf08lwa06g2&amp;st=3rjfyqw6&amp;dl=0</t>
  </si>
  <si>
    <t>hig: fotobervideo2am@gmail.com</t>
  </si>
  <si>
    <t>1. https://gemini.google.com/share/d7168ce5a177
2. https://gemini.google.com/share/076b327085ca
https://gemini.google.com/share/cf2e6d103cfe</t>
  </si>
  <si>
    <t>THFEB03041</t>
  </si>
  <si>
    <t>https://www.dropbox.com/scl/fo/t6lyzok6vjs7jqcj8w4n7/AB7BnB5nmc0IK5EpuBPEWew?rlkey=e1q1vqyo3fk9cwv506pqd2yjj&amp;dl=0</t>
  </si>
  <si>
    <t xml:space="preserve"> AI bit on one of the videos showing a block of apartments constructed in the area to be developed. 
Maybe we could even do one option but then it dismantles and a different option appears.?
Maybe an unattractive area is shown up first, then it's demolished and replaced with something more beautiful?
So you can renovate anything inside the border
I Was thinking like a huge set of ground level apartments, it won’t be a high rise development. 
</t>
  </si>
  <si>
    <t>https://www.dropbox.com/scl/fo/cw3g5oo9q0bgmn3sd3lo0/ABTtIOpAYkW79X0KUlUAt8I?rlkey=98kipmmv99ehsgln41f57g14s&amp;st=34vnj5qr&amp;dl=0</t>
  </si>
  <si>
    <t>iết prompt tạo ảnh, tôi dùng higgsfield tạo một bức ảnh I Was thinking like a huge set of ground level apartments, it won’t be a high rise development. , khu mới được tạo phải nằm bên trong khu đất trống, chỉ được xây dựng trong phần đất trống ở ảnh</t>
  </si>
  <si>
    <t>iết prompt tạo ảnh, tôi dùng general của higgsfield tạo một bức ảnh I Was thinking like a huge set of ground level apartments, it won’t be a high rise development. , khu mới được tạo phải nằm bên trong khu đất trống, chỉ được xây dựng trong phần đất trống ở ảnh</t>
  </si>
  <si>
    <t>Generate a realistic architectural image using the General model.
Design a large ground-level apartment complex, not a high-rise development.
All buildings are low-rise, spread horizontally across the site, creating a cohesive residential community.
The entire development must be built strictly inside the empty plot of land shown in the reference image.
Do not expand, extend, or alter any surrounding areas outside the empty land.
Existing surroundings remain completely unchanged.
The apartments are arranged in an organized master-plan layout, with clear spacing between buildings.
Include internal pathways, green courtyards, and shared open spaces, all contained within the empty land area.
Architecture style: modern, clean, minimal, with simple geometric forms.
Materials feel realistic and contemporary (concrete, glass, light-colored facades).
No high-rise towers.
No buildings taller than a few floors.
Lighting is natural daylight, evenly balanced.
Shadows and perspective are realistic and consistent.
Camera angle matches the original image perspective.
No dramatic angles or distortions.
Do not add people, vehicles, construction equipment, or temporary structures.
Do not add any elements outside the empty land area.
The final image should look like a fully planned, finished residential complex, naturally integrated into the empty plot only.</t>
  </si>
  <si>
    <t>THFEB04048</t>
  </si>
  <si>
    <t>https://www.dropbox.com/scl/fo/np3588uvatc7lvgyfrs6c/AAiioPn5qtRiYgLQVe_pVio?rlkey=qicb8rw3ep71zebg8vp6lzfqg&amp;dl=0</t>
  </si>
  <si>
    <t>AI quá trình hoàn thiện ngôi nhà 
" * attached is a reference photo 
- houses in front of block have to stay 
- inside white boundary can be levelled clear 
- inside white boundary is a black outline which represents a single story hotel (doesnt have to be perfect but just that U shape design) 
Here’s sample but you can do anything that fit: https://www.instagram.com/p/DPVbfpTjcjQ/
xuất 4k</t>
  </si>
  <si>
    <t>https://www.dropbox.com/scl/fi/uvrhtvvpp0c35ehqacnxk/THFEB04048.mp4?rlkey=3h6cc1mbm1e738z85fwn9xalf&amp;st=ts20gvo1&amp;dl=0</t>
  </si>
  <si>
    <t>https://gemini.google.com/share/e11a9ed9bcf2
https://gemini.google.com/share/19dc39dca241</t>
  </si>
  <si>
    <t>HUFEB03011Rev</t>
  </si>
  <si>
    <t>https://www.dropbox.com/scl/fo/7wotfzjby6dzxi6lp7e63/AMYRoDSm9BzU5SyGOAUjY38?rlkey=bx082x87ommyxyto6ihr9byml&amp;st=hl7ca8ei&amp;dl=0</t>
  </si>
  <si>
    <t>AI construction progression 
team AI đọc ý 2 và 4 của khách note để làm kĩ hơn ạ ( https://docs.google.com/document/d/1tkp5PZ0r2BfM9zQ4e5KGeyB7WPYotRJcwWjgAo7nACs/edit?tab=t.0 )
- em có để trong folder ảnh nhà mẫu khách muốn làm và tỉ lệ 
ren 4k giúp em</t>
  </si>
  <si>
    <t>https://www.dropbox.com/scl/fo/ey57ygtv94c7bwnsvnu96/AFKUtyHBZlqqWhfQkD1hZ6Y?rlkey=jaevg46ln0jabj8ih1cq7nmr6&amp;st=l3u7c328&amp;dl=0</t>
  </si>
  <si>
    <t>1. https://gemini.google.com/share/e84d1c26fd88
2. https://gemini.google.com/share/dd0b1cf8c65c</t>
  </si>
  <si>
    <t>TRFEB05004</t>
  </si>
  <si>
    <t>https://www.dropbox.com/scl/fo/9unwukzdxjiy0eb18e61g/ALelJfmH5IbGDxC5CebJNis?rlkey=pieopkyugm5ayyno5es5q5b79&amp;dl=0</t>
  </si>
  <si>
    <t>- tạo AI ren ra 2 ngôi nhà hiện đại từ 2 lô đất, trong input có ảnh mẫu phần khu đất để ren, 
tham khảo mẫu nhà hiện đại trong sample
sample: https://www.instagram.com/reel/DTfrKuqkdE1/?utm_source=ig_web_copy_link&amp;igsh=MzRlODBiNWFlZA%3D%3D
==&gt; xuất 4k</t>
  </si>
  <si>
    <t>https://www.dropbox.com/scl/fi/bgpix4dy5s2dekb1hdavt/TRFEB05004.mp4?rlkey=7u77qawj2pv0bwd4c7740tszt&amp;st=vs9dlnqr&amp;dl=0</t>
  </si>
  <si>
    <t>v iết prompt tạo ảnh, tôi dùng higgsfield tạo một bức ảnh tạo cho tôi 2 ngôi nhà có kiến trúc hiện đại vào phần ô đất màu vàng và màu đỏ (ngôi nhà 1 ở ô đất vàng), (ngôi nhà 2 ở ô đất đỏ), nhà phải được xây dựng hết trong khuôn đất đó không được để thừa, nhà theo kiểu hiện đại của thành phố lớn, các chi tiết khác của ảnh giữ nguyên, tuyệt đối không thay đổi kích thước 9:16 của ảnh, góc cam cố định</t>
  </si>
  <si>
    <t>viết promt để generate ảnh thành video trên higgsfield.ai, dúng hiệu ứng general (k.ling 2.5 Turbo) tôi muốn  tạo video 2 ngôi nhà được xây dựng từ khu đất trống, video bắt đầu từ khu đất trống sau đó ngôi nhà từ từ được xây dựng từng phần một, từ phần khung cho đến khi hoàn thiện căn nhà, như có một đội thi công hoàn tất nó, tuyệt đối không xuất hiện người hay máy móc, thời gian và ánh sáng giữ nguyên, máy quay giữ cố định không di chuyển</t>
  </si>
  <si>
    <t>A static wide shot of an empty plot of land with space for two separate houses.
The video starts with a completely empty construction site, flat ground only.
Gradually, two houses are built step by step as if by an invisible construction team.
Both houses are constructed simultaneously and progressively.
First, the foundations of both houses emerge smoothly from the ground.
Next, the structural frames of the two houses rise naturally.
Then the walls form, followed by the roofs assembling piece by piece.
After that, windows and doors appear, exterior finishes are completed,
and finally both houses become fully completed and finished.
The construction process is smooth, continuous, and clearly staged.
No people, no workers, no machines, no vehicles, no tools, no scaffolding.
The houses build themselves naturally, as if time is passing.
Camera remains completely fixed and stable, no movement, no pan, no tilt, no zoom.
Lighting and time of day remain constant throughout the entire video.
Realistic scale and proportions for both houses.
High realism, cinematic architectural visualization, smooth motion,
no flicker, no distortion, no sudden changes.</t>
  </si>
  <si>
    <t>QUFEB05009</t>
  </si>
  <si>
    <t>https://www.dropbox.com/scl/fo/ogsfuet8uarfbtrgunz88/AJe90M095SJXdbvLt-TDuK0?rlkey=vo62g8bfu9c3fgof9bpcicvm2&amp;st=zwbs6grh&amp;dl=0</t>
  </si>
  <si>
    <t>3 AI effect biến khu đất thành: 
Wear house or commercial developmen
Retail center with electric vehicle charging station
Financial institutions 
làm giống Sample ( https://www.instagram.com/p/DUA7JPgEdVS/ )
ren 4k giúp em</t>
  </si>
  <si>
    <t>1. https://gemini.google.com/share/b3bae365d6ba 
2. https://gemini.google.com/share/1e367231103b 
3. https://gemini.google.com/share/8c34bd390277</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</si>
</sst>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12.0"/>
      <color rgb="FFFFFFFF"/>
      <name val="Arial"/>
      <scheme val="minor"/>
    </font>
    <font>
      <color rgb="FFFFFFFF"/>
      <name val="Arial"/>
      <scheme val="minor"/>
    </font>
    <font>
      <b/>
      <color rgb="FFFFFFFF"/>
      <name val="Arial"/>
      <scheme val="minor"/>
    </font>
    <font>
      <color theme="1"/>
      <name val="Arial"/>
      <scheme val="minor"/>
    </font>
    <font>
      <u/>
      <color rgb="FF0000FF"/>
    </font>
    <font>
      <u/>
      <color rgb="FF0000FF"/>
    </font>
    <font>
      <u/>
      <color rgb="FF0000FF"/>
    </font>
    <font>
      <u/>
      <color rgb="FF0000FF"/>
    </font>
    <font>
      <u/>
      <color rgb="FF0000FF"/>
    </font>
    <font>
      <color theme="1"/>
      <name val="Arial"/>
    </font>
    <font>
      <u/>
      <color rgb="FF0000FF"/>
      <name val="Arial"/>
    </font>
    <font>
      <u/>
      <color rgb="FF0000FF"/>
      <name val="Arial"/>
    </font>
    <font>
      <sz val="10.0"/>
      <color theme="1"/>
      <name val="Arial"/>
    </font>
    <font>
      <color rgb="FF434343"/>
      <name val="Arial"/>
    </font>
    <font>
      <u/>
      <color rgb="FF434343"/>
    </font>
    <font>
      <u/>
      <color rgb="FF0000FF"/>
    </font>
    <font>
      <b/>
      <color theme="1"/>
      <name val="Arial"/>
      <scheme val="minor"/>
    </font>
    <font>
      <color rgb="FF434343"/>
      <name val="Roboto"/>
    </font>
    <font>
      <u/>
      <color rgb="FF434343"/>
      <name val="Roboto"/>
    </font>
    <font>
      <u/>
      <color rgb="FF434343"/>
      <name val="Roboto"/>
    </font>
    <font>
      <u/>
      <color rgb="FF434343"/>
      <name val="Roboto"/>
    </font>
    <font>
      <u/>
      <color rgb="FF0000FF"/>
      <name val="Roboto"/>
    </font>
    <font>
      <u/>
      <color rgb="FF0000FF"/>
      <name val="Arial"/>
    </font>
    <font>
      <u/>
      <color rgb="FF434343"/>
      <name val="Roboto"/>
    </font>
    <font>
      <u/>
      <color rgb="FF0000FF"/>
      <name val="Arial"/>
    </font>
    <font>
      <u/>
      <color rgb="FF0000FF"/>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s>
  <fills count="6">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s>
  <borders count="3">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shrinkToFit="0" wrapText="0"/>
    </xf>
    <xf borderId="0" fillId="2" fontId="1" numFmtId="0" xfId="0" applyAlignment="1" applyFont="1">
      <alignment horizontal="center" readingOrder="0" shrinkToFit="0" wrapText="1"/>
    </xf>
    <xf borderId="0" fillId="2" fontId="2" numFmtId="0" xfId="0" applyAlignment="1" applyFont="1">
      <alignment shrinkToFit="0" wrapText="1"/>
    </xf>
    <xf borderId="0" fillId="2" fontId="3" numFmtId="0" xfId="0" applyAlignment="1" applyFont="1">
      <alignment readingOrder="0" shrinkToFit="0" wrapText="1"/>
    </xf>
    <xf borderId="0" fillId="3" fontId="4" numFmtId="0" xfId="0" applyAlignment="1" applyFill="1" applyFont="1">
      <alignment readingOrder="0"/>
    </xf>
    <xf borderId="0" fillId="3" fontId="5" numFmtId="0" xfId="0" applyAlignment="1" applyFont="1">
      <alignment readingOrder="0" shrinkToFit="0" wrapText="0"/>
    </xf>
    <xf borderId="0" fillId="3" fontId="4" numFmtId="0" xfId="0" applyAlignment="1" applyFont="1">
      <alignment readingOrder="0" shrinkToFit="0" wrapText="1"/>
    </xf>
    <xf borderId="0" fillId="3" fontId="6" numFmtId="0" xfId="0" applyFont="1"/>
    <xf borderId="0" fillId="3" fontId="4" numFmtId="0" xfId="0" applyAlignment="1" applyFont="1">
      <alignment shrinkToFit="0" wrapText="1"/>
    </xf>
    <xf borderId="0" fillId="3" fontId="7" numFmtId="0" xfId="0" applyAlignment="1" applyFont="1">
      <alignment readingOrder="0" shrinkToFit="0" wrapText="1"/>
    </xf>
    <xf borderId="0" fillId="3" fontId="4" numFmtId="0" xfId="0" applyAlignment="1" applyFont="1">
      <alignment shrinkToFit="0" wrapText="0"/>
    </xf>
    <xf borderId="0" fillId="3" fontId="8" numFmtId="0" xfId="0" applyAlignment="1" applyFont="1">
      <alignment readingOrder="0" shrinkToFit="0" wrapText="1"/>
    </xf>
    <xf borderId="0" fillId="3" fontId="9" numFmtId="0" xfId="0" applyAlignment="1" applyFont="1">
      <alignment readingOrder="0" shrinkToFit="0" wrapText="0"/>
    </xf>
    <xf borderId="0" fillId="3" fontId="10" numFmtId="0" xfId="0" applyAlignment="1" applyFont="1">
      <alignment horizontal="left" readingOrder="0" vertical="bottom"/>
    </xf>
    <xf borderId="0" fillId="3" fontId="11" numFmtId="0" xfId="0" applyAlignment="1" applyFont="1">
      <alignment horizontal="left" readingOrder="0" vertical="bottom"/>
    </xf>
    <xf borderId="0" fillId="3" fontId="10" numFmtId="0" xfId="0" applyAlignment="1" applyFont="1">
      <alignment readingOrder="0" vertical="bottom"/>
    </xf>
    <xf borderId="0" fillId="3" fontId="12" numFmtId="0" xfId="0" applyAlignment="1" applyFont="1">
      <alignment horizontal="left" readingOrder="0" shrinkToFit="0" vertical="bottom" wrapText="0"/>
    </xf>
    <xf borderId="0" fillId="3" fontId="13" numFmtId="0" xfId="0" applyAlignment="1" applyFont="1">
      <alignment readingOrder="0" vertical="bottom"/>
    </xf>
    <xf borderId="0" fillId="3" fontId="14" numFmtId="0" xfId="0" applyAlignment="1" applyFont="1">
      <alignment readingOrder="0" shrinkToFit="0" vertical="bottom" wrapText="0"/>
    </xf>
    <xf borderId="0" fillId="3" fontId="15" numFmtId="0" xfId="0" applyAlignment="1" applyFont="1">
      <alignment readingOrder="0" shrinkToFit="0" wrapText="0"/>
    </xf>
    <xf borderId="0" fillId="3" fontId="4" numFmtId="0" xfId="0" applyFont="1"/>
    <xf borderId="0" fillId="0" fontId="4" numFmtId="0" xfId="0" applyAlignment="1" applyFont="1">
      <alignment readingOrder="0" shrinkToFit="0" wrapText="0"/>
    </xf>
    <xf borderId="0" fillId="0" fontId="4" numFmtId="0" xfId="0" applyAlignment="1" applyFont="1">
      <alignment readingOrder="0"/>
    </xf>
    <xf borderId="0" fillId="0" fontId="16" numFmtId="0" xfId="0" applyAlignment="1" applyFont="1">
      <alignment readingOrder="0" shrinkToFit="0" wrapText="0"/>
    </xf>
    <xf borderId="0" fillId="0" fontId="4" numFmtId="0" xfId="0" applyAlignment="1" applyFont="1">
      <alignment shrinkToFit="0" wrapText="0"/>
    </xf>
    <xf borderId="0" fillId="0" fontId="17" numFmtId="0" xfId="0" applyAlignment="1" applyFont="1">
      <alignment readingOrder="0" shrinkToFit="0" wrapText="1"/>
    </xf>
    <xf borderId="0" fillId="0" fontId="17" numFmtId="0" xfId="0" applyAlignment="1" applyFont="1">
      <alignment readingOrder="0" shrinkToFit="0" wrapText="0"/>
    </xf>
    <xf borderId="0" fillId="0" fontId="17" numFmtId="0" xfId="0" applyAlignment="1" applyFont="1">
      <alignment shrinkToFit="0" wrapText="1"/>
    </xf>
    <xf borderId="0" fillId="0" fontId="10" numFmtId="0" xfId="0" applyAlignment="1" applyFont="1">
      <alignment readingOrder="0" vertical="bottom"/>
    </xf>
    <xf borderId="1" fillId="4" fontId="18" numFmtId="0" xfId="0" applyAlignment="1" applyBorder="1" applyFill="1" applyFont="1">
      <alignment readingOrder="0" shrinkToFit="0" wrapText="0"/>
    </xf>
    <xf borderId="1" fillId="4" fontId="19" numFmtId="0" xfId="0" applyAlignment="1" applyBorder="1" applyFont="1">
      <alignment readingOrder="0" shrinkToFit="0" wrapText="0"/>
    </xf>
    <xf borderId="1" fillId="4" fontId="18" numFmtId="0" xfId="0" applyAlignment="1" applyBorder="1" applyFont="1">
      <alignment readingOrder="0" shrinkToFit="0" wrapText="1"/>
    </xf>
    <xf borderId="1" fillId="4" fontId="10" numFmtId="0" xfId="0" applyBorder="1" applyFont="1"/>
    <xf borderId="1" fillId="4" fontId="10" numFmtId="0" xfId="0" applyAlignment="1" applyBorder="1" applyFont="1">
      <alignment shrinkToFit="0" wrapText="0"/>
    </xf>
    <xf borderId="2" fillId="5" fontId="18" numFmtId="0" xfId="0" applyAlignment="1" applyBorder="1" applyFill="1" applyFont="1">
      <alignment readingOrder="0" shrinkToFit="0" wrapText="0"/>
    </xf>
    <xf borderId="2" fillId="5" fontId="20" numFmtId="0" xfId="0" applyAlignment="1" applyBorder="1" applyFont="1">
      <alignment readingOrder="0" shrinkToFit="0" wrapText="0"/>
    </xf>
    <xf borderId="2" fillId="5" fontId="18" numFmtId="0" xfId="0" applyAlignment="1" applyBorder="1" applyFont="1">
      <alignment readingOrder="0" shrinkToFit="0" wrapText="1"/>
    </xf>
    <xf borderId="2" fillId="5" fontId="10" numFmtId="0" xfId="0" applyBorder="1" applyFont="1"/>
    <xf borderId="2" fillId="5" fontId="10" numFmtId="0" xfId="0" applyAlignment="1" applyBorder="1" applyFont="1">
      <alignment shrinkToFit="0" wrapText="0"/>
    </xf>
    <xf borderId="2" fillId="5" fontId="18" numFmtId="0" xfId="0" applyAlignment="1" applyBorder="1" applyFont="1">
      <alignment readingOrder="0" shrinkToFit="0" textRotation="0" wrapText="0"/>
    </xf>
    <xf borderId="1" fillId="4" fontId="18" numFmtId="0" xfId="0" applyAlignment="1" applyBorder="1" applyFont="1">
      <alignment readingOrder="0" shrinkToFit="0" textRotation="0" wrapText="0"/>
    </xf>
    <xf borderId="2" fillId="5" fontId="18" numFmtId="0" xfId="0" applyAlignment="1" applyBorder="1" applyFont="1">
      <alignment shrinkToFit="0" wrapText="0"/>
    </xf>
    <xf borderId="2" fillId="5" fontId="21" numFmtId="0" xfId="0" applyAlignment="1" applyBorder="1" applyFont="1">
      <alignment shrinkToFit="0" wrapText="0"/>
    </xf>
    <xf borderId="2" fillId="5" fontId="18" numFmtId="0" xfId="0" applyAlignment="1" applyBorder="1" applyFont="1">
      <alignment shrinkToFit="0" textRotation="0" wrapText="0"/>
    </xf>
    <xf borderId="2" fillId="5" fontId="22" numFmtId="0" xfId="0" applyAlignment="1" applyBorder="1" applyFont="1">
      <alignment readingOrder="0" shrinkToFit="0" wrapText="0"/>
    </xf>
    <xf borderId="1" fillId="4" fontId="10" numFmtId="0" xfId="0" applyAlignment="1" applyBorder="1" applyFont="1">
      <alignment readingOrder="0"/>
    </xf>
    <xf borderId="1" fillId="4" fontId="10" numFmtId="0" xfId="0" applyAlignment="1" applyBorder="1" applyFont="1">
      <alignment readingOrder="0" shrinkToFit="0" wrapText="0"/>
    </xf>
    <xf borderId="2" fillId="5" fontId="23" numFmtId="0" xfId="0" applyAlignment="1" applyBorder="1" applyFont="1">
      <alignment readingOrder="0"/>
    </xf>
    <xf borderId="1" fillId="4" fontId="18" numFmtId="0" xfId="0" applyAlignment="1" applyBorder="1" applyFont="1">
      <alignment shrinkToFit="0" wrapText="0"/>
    </xf>
    <xf borderId="1" fillId="4" fontId="24" numFmtId="0" xfId="0" applyAlignment="1" applyBorder="1" applyFont="1">
      <alignment shrinkToFit="0" wrapText="0"/>
    </xf>
    <xf borderId="1" fillId="4" fontId="25" numFmtId="0" xfId="0" applyAlignment="1" applyBorder="1" applyFont="1">
      <alignment readingOrder="0"/>
    </xf>
    <xf borderId="1" fillId="4" fontId="18" numFmtId="0" xfId="0" applyAlignment="1" applyBorder="1" applyFont="1">
      <alignment shrinkToFit="0" textRotation="0" wrapText="0"/>
    </xf>
    <xf borderId="2" fillId="5" fontId="10" numFmtId="0" xfId="0" applyAlignment="1" applyBorder="1" applyFont="1">
      <alignment readingOrder="0"/>
    </xf>
    <xf borderId="0" fillId="0" fontId="26" numFmtId="0" xfId="0" applyAlignment="1" applyFont="1">
      <alignment readingOrder="0"/>
    </xf>
    <xf borderId="0" fillId="0" fontId="4" numFmtId="0" xfId="0" applyAlignment="1" applyFont="1">
      <alignment readingOrder="0" shrinkToFit="0" wrapText="1"/>
    </xf>
    <xf borderId="0" fillId="0" fontId="4" numFmtId="0" xfId="0" applyFont="1"/>
    <xf borderId="0" fillId="0" fontId="10" numFmtId="0" xfId="0" applyAlignment="1" applyFont="1">
      <alignment shrinkToFit="0" vertical="bottom" wrapText="0"/>
    </xf>
    <xf borderId="0" fillId="0" fontId="10" numFmtId="0" xfId="0" applyAlignment="1" applyFont="1">
      <alignment vertical="bottom"/>
    </xf>
    <xf borderId="0" fillId="0" fontId="10" numFmtId="0" xfId="0" applyAlignment="1" applyFont="1">
      <alignment vertical="bottom"/>
    </xf>
    <xf borderId="0" fillId="0" fontId="27" numFmtId="0" xfId="0" applyAlignment="1" applyFont="1">
      <alignment shrinkToFit="0" vertical="bottom" wrapText="0"/>
    </xf>
    <xf borderId="0" fillId="0" fontId="10" numFmtId="0" xfId="0" applyAlignment="1" applyFont="1">
      <alignment shrinkToFit="0" vertical="bottom" wrapText="0"/>
    </xf>
    <xf borderId="0" fillId="0" fontId="4" numFmtId="0" xfId="0" applyAlignment="1" applyFont="1">
      <alignment shrinkToFit="0" wrapText="0"/>
    </xf>
    <xf borderId="0" fillId="0" fontId="28" numFmtId="0" xfId="0" applyAlignment="1" applyFont="1">
      <alignment vertical="bottom"/>
    </xf>
    <xf borderId="0" fillId="0" fontId="29" numFmtId="0" xfId="0" applyAlignment="1" applyFont="1">
      <alignment shrinkToFit="0" vertical="bottom" wrapText="0"/>
    </xf>
    <xf borderId="0" fillId="0" fontId="30" numFmtId="0" xfId="0" applyAlignment="1" applyFont="1">
      <alignment readingOrder="0" shrinkToFit="0" vertical="bottom" wrapText="0"/>
    </xf>
    <xf borderId="0" fillId="0" fontId="10" numFmtId="0" xfId="0" applyAlignment="1" applyFont="1">
      <alignment readingOrder="0" shrinkToFit="0" vertical="bottom" wrapText="0"/>
    </xf>
    <xf borderId="0" fillId="0" fontId="31" numFmtId="0" xfId="0" applyAlignment="1" applyFont="1">
      <alignment readingOrder="0" shrinkToFit="0" vertical="bottom" wrapText="0"/>
    </xf>
    <xf borderId="0" fillId="0" fontId="32" numFmtId="0" xfId="0" applyAlignment="1" applyFont="1">
      <alignment vertical="bottom"/>
    </xf>
    <xf borderId="0" fillId="0" fontId="3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unnK5qIW3kTRPe5voiU9ojEpw4uB-hVy?usp=drive_link" TargetMode="External"/><Relationship Id="rId20" Type="http://schemas.openxmlformats.org/officeDocument/2006/relationships/hyperlink" Target="https://www.dropbox.com/scl/fo/moy1rr6ih4gf1wuk09xfq/ANQBccNgJ_192f9XmxpIn6s?e=1&amp;fbclid=IwY2xjawPlWfRleHRuA2FlbQIxMABicmlkETE1Sm1iekVjQzhtYzNWTDREc3J0YwZhcHBfaWQQMjIyMDM5MTc4ODIwMDg5MgABHj2Wea6hRSoNPzMHttCXNSlqLxC3egzwMbSbPJDEMZL1Nfg7etKSLw20u0_h_aem_gEroAT3oKAP3RoGfQJeERQ&amp;rlkey=fbsrj7j70uj1bkoxf56vaqkj2&amp;st=4c06jaaz&amp;dl=0" TargetMode="External"/><Relationship Id="rId42" Type="http://schemas.openxmlformats.org/officeDocument/2006/relationships/hyperlink" Target="https://www.dropbox.com/scl/fo/3pxc44yoa48dhmmrxc5do/AIB_cBYpSVEAmFZ9einYNIs?rlkey=vqng9rppiqwhmv0ifkuvutt4j&amp;st=esucqycl&amp;dl=0" TargetMode="External"/><Relationship Id="rId41" Type="http://schemas.openxmlformats.org/officeDocument/2006/relationships/hyperlink" Target="https://www.dropbox.com/scl/fo/slfa203eom7ma8p22taeg/AFBUyE9gdnh7OgpdMhcypzY?rlkey=tgqvqhb5fvob8gxk7rnel9rdd&amp;dl=0" TargetMode="External"/><Relationship Id="rId22" Type="http://schemas.openxmlformats.org/officeDocument/2006/relationships/hyperlink" Target="https://gemini.google.com/share/d008d267c7bd" TargetMode="External"/><Relationship Id="rId44" Type="http://schemas.openxmlformats.org/officeDocument/2006/relationships/hyperlink" Target="https://www.dropbox.com/scl/fo/3hojfeu31n7bzyl8dskt9/AHBEq8ljggbppv2qcPk1tkY?rlkey=wuaekwxkzwysahsbu9032oway&amp;st=py6bdxpc&amp;dl=0" TargetMode="External"/><Relationship Id="rId21" Type="http://schemas.openxmlformats.org/officeDocument/2006/relationships/hyperlink" Target="https://www.dropbox.com/scl/fi/grd27p8m3wxwb04ml5gm3/LIJAN07001.mp4?rlkey=sd5euwhzcorljnu52ov52q32b&amp;st=b7410ga1&amp;dl=0" TargetMode="External"/><Relationship Id="rId43" Type="http://schemas.openxmlformats.org/officeDocument/2006/relationships/hyperlink" Target="https://www.dropbox.com/scl/fo/x49kdvlshlqeppfeaujh4/ALGIv9jtHSVWXhil_Yjivz8?rlkey=lzy3sjx0n0zs94bzqyoesv5zp&amp;dl=0" TargetMode="External"/><Relationship Id="rId24" Type="http://schemas.openxmlformats.org/officeDocument/2006/relationships/hyperlink" Target="https://www.dropbox.com/scl/fi/tahnb6s1bptknkkz6clex/HTDEC18019.mp4?e=1&amp;fbclid=IwY2xjawPlV8tleHRuA2FlbQIxMABicmlkETFCcmlaQWJFb09URERtajFmc3J0YwZhcHBfaWQQMjIyMDM5MTc4ODIwMDg5MgABHigiLBfOjZcocJKooK6Khb0gHGGqyxYA7G3YxrcM7N3_RlEqDD4xhm9aRXF9_aem_OtPFSfqPOhzcxNt9v-QJVA&amp;rlkey=htnychu3mumigt2uvkxo8x4wf&amp;st=1d3sah4t&amp;dl=0" TargetMode="External"/><Relationship Id="rId46" Type="http://schemas.openxmlformats.org/officeDocument/2006/relationships/hyperlink" Target="https://www.dropbox.com/scl/fo/2g681dzffpb9eeu6361qm/AEqWoET1UgLB1F7eLrkOGQY?rlkey=2a4hq62twz25yr2vzt105btaf&amp;st=r3pafrsz&amp;dl=0" TargetMode="External"/><Relationship Id="rId23" Type="http://schemas.openxmlformats.org/officeDocument/2006/relationships/hyperlink" Target="https://www.dropbox.com/scl/fo/mvocxfb109de7gugp3o7b/AN5TdzvvKRWaXdzhhA7CQCg?rlkey=0zodass5s63x4w6enpz6f72mn&amp;dl=0" TargetMode="External"/><Relationship Id="rId45" Type="http://schemas.openxmlformats.org/officeDocument/2006/relationships/hyperlink" Target="https://www.linkedin.com/posts/barnessuisse_barnes-barnessuisse-immobilier-activity-7419015870661689344-TKdE/" TargetMode="External"/><Relationship Id="rId1" Type="http://schemas.openxmlformats.org/officeDocument/2006/relationships/hyperlink" Target="https://www.dropbox.com/scl/fo/cniq4l2jhuf9wfdbvxiug/ABUFwFNHfYrPOLvWIWB0WQ4?rlkey=41t1e6teuc2mvgf88h2mgoucu&amp;dl=0" TargetMode="External"/><Relationship Id="rId2" Type="http://schemas.openxmlformats.org/officeDocument/2006/relationships/hyperlink" Target="https://www.dropbox.com/scl/fi/leh7g96adkvmp03agauz1/TLNOV14022rev4.mp4?e=1&amp;fbclid=IwY2xjawPkBBhleHRuA2FlbQIxMABicmlkETF6N0xvdUY5WFRZTTlKQ0hQc3J0YwZhcHBfaWQQMjIyMDM5MTc4ODIwMDg5MgABHsELrkXlPHdHvFstD-gMp7IS0ZfArkoZaxPABfMq0eh2YmwPXhL8Q-xGOxtP_aem_1tbEu_PXqSztwk0nBwZz9g&amp;rlkey=9fvcko85jnstyrbtfdn66culp&amp;st=vjxytlze&amp;dl=0" TargetMode="External"/><Relationship Id="rId3" Type="http://schemas.openxmlformats.org/officeDocument/2006/relationships/hyperlink" Target="https://www.dropbox.com/scl/fo/65xh5pk32ov01bk541pa1/AEjCDsU4HSwJGgazVHN9ZFY?rlkey=qicc5qz8q5a4ysmvostw7audk&amp;e=1&amp;dl=0" TargetMode="External"/><Relationship Id="rId4" Type="http://schemas.openxmlformats.org/officeDocument/2006/relationships/hyperlink" Target="https://www.dropbox.com/scl/fi/xm3hrq0acgcn1hwkezy79/TADEC31004.mp4?e=1&amp;fbclid=IwY2xjawPkBbJleHRuA2FlbQIxMABicmlkETF6N0xvdUY5WFRZTTlKQ0hQc3J0YwZhcHBfaWQQMjIyMDM5MTc4ODIwMDg5MgABHsELrkXlPHdHvFstD-gMp7IS0ZfArkoZaxPABfMq0eh2YmwPXhL8Q-xGOxtP_aem_1tbEu_PXqSztwk0nBwZz9g&amp;rlkey=psagvqh9gss6tz9gr79ru8qt4&amp;st=ucgzbm5f&amp;dl=0" TargetMode="External"/><Relationship Id="rId9" Type="http://schemas.openxmlformats.org/officeDocument/2006/relationships/hyperlink" Target="https://www.dropbox.com/scl/fi/wgpftnq7226yov8ettklu/HTJAN15008Rev.mp4?rlkey=hbznhs5aqoqnn7b74cart93m4&amp;st=vqutk7oi&amp;dl=0" TargetMode="External"/><Relationship Id="rId26" Type="http://schemas.openxmlformats.org/officeDocument/2006/relationships/hyperlink" Target="https://www.dropbox.com/scl/fo/png5d7o096flmnbyb86ip/ABYfn1FLZCNftBmTQ_MKohs?rlkey=oc5vtag97u6myt3x5t2bsmylh&amp;dl=0" TargetMode="External"/><Relationship Id="rId25" Type="http://schemas.openxmlformats.org/officeDocument/2006/relationships/hyperlink" Target="https://drive.google.com/drive/folders/1zpylYvwL3OdTeapJEcs5n_FvCOlVZmzQ?usp=drive_link" TargetMode="External"/><Relationship Id="rId47" Type="http://schemas.openxmlformats.org/officeDocument/2006/relationships/drawing" Target="../drawings/drawing1.xml"/><Relationship Id="rId28" Type="http://schemas.openxmlformats.org/officeDocument/2006/relationships/hyperlink" Target="https://www.dropbox.com/scl/fo/f5wnj62x2xel3sifk62hu/AMo9pRjMEKBywZ0Cjz3l0Ng?e=1&amp;fbclid=IwY2xjawPlWmdleHRuA2FlbQIxMABicmlkETFod1hlc1BtN1BtNEVQNUhGc3J0YwZhcHBfaWQQMjIyMDM5MTc4ODIwMDg5MgABHl2nQdmUJJS_j5Vxe82odrzEtY_3C1OPn0DktM2AB00QtYaaQqY0D8cZ8UeF_aem_SWBlUGj0LcNMpUlm8zBo8A&amp;rlkey=s2atgypm312dhc2iwb9fj9fop&amp;dl=0" TargetMode="External"/><Relationship Id="rId27" Type="http://schemas.openxmlformats.org/officeDocument/2006/relationships/hyperlink" Target="https://www.dropbox.com/scl/fo/7d6acqjog38z1vm5ak2rp/AI9SgUFasa5fBniG4uAKdrM?e=1&amp;fbclid=IwY2xjawPlWi9leHRuA2FlbQIxMABicmlkETFod1hlc1BtN1BtNEVQNUhGc3J0YwZhcHBfaWQQMjIyMDM5MTc4ODIwMDg5MgABHi86iT5aBrtRSxoPUbbr1mR7odhsF1Y_aNdJJTnySuBYdXOr4QicrwsDoqpH_aem_9QA1EWlblISibZwz7ggHGw&amp;rlkey=t2xmxhquowkyzbhth3lqw1t8k&amp;dl=0" TargetMode="External"/><Relationship Id="rId5" Type="http://schemas.openxmlformats.org/officeDocument/2006/relationships/hyperlink" Target="https://www.dropbox.com/scl/fo/67xzml9bnzctxlswhte9i/AFb3qguqBYXGxF2P4Fvucqo?rlkey=6cdngcpwderr8nw3lndjsvqbu&amp;st=xloz5kxa&amp;dl=0" TargetMode="External"/><Relationship Id="rId6" Type="http://schemas.openxmlformats.org/officeDocument/2006/relationships/hyperlink" Target="https://www.dropbox.com/scl/fi/0pyitx4rup935kxaxn1iy/DUJAN04005.mp4?rlkey=dvg11lcxs7w8x0qma4fon8fk2&amp;st=abwhmr6x&amp;dl=0" TargetMode="External"/><Relationship Id="rId29" Type="http://schemas.openxmlformats.org/officeDocument/2006/relationships/hyperlink" Target="https://www.dropbox.com/scl/fi/58gvgztk3tqy54s7twhsm/RivaRidge.mp4?rlkey=owxntrs76n82k1onlqsw8pg5a&amp;st=c9mk6igh&amp;dl=0" TargetMode="External"/><Relationship Id="rId7" Type="http://schemas.openxmlformats.org/officeDocument/2006/relationships/hyperlink" Target="https://gemini.google.com/share/ad8717c07dd7" TargetMode="External"/><Relationship Id="rId8" Type="http://schemas.openxmlformats.org/officeDocument/2006/relationships/hyperlink" Target="https://www.dropbox.com/scl/fo/xm9k0mr4y4pqjqltow5xx/ANXgR7aFuGuuA29SZmiKt94?rlkey=vdiof00ngsui4ikmo6ol6pika&amp;dl=0" TargetMode="External"/><Relationship Id="rId31" Type="http://schemas.openxmlformats.org/officeDocument/2006/relationships/hyperlink" Target="https://www.dropbox.com/scl/fi/vdhm6a6khs3jdjlsic1z4/598-CR-304.mp4?rlkey=p4lqlbpu8977xatoilk6uce3s&amp;st=nwfqzr4p&amp;dl=0" TargetMode="External"/><Relationship Id="rId30" Type="http://schemas.openxmlformats.org/officeDocument/2006/relationships/hyperlink" Target="https://drive.google.com/drive/folders/1U0fa_YhaiI2vN6hEXKG7fmL5-NC9F-4O" TargetMode="External"/><Relationship Id="rId11" Type="http://schemas.openxmlformats.org/officeDocument/2006/relationships/hyperlink" Target="https://www.dropbox.com/scl/fo/4620rg7zdsgn127xg2e4j/AMEEPfiilfxqRVeDv20oumA?rlkey=4vas5uymc60tqk152dsi1vonu&amp;st=vdisf3ld&amp;dl=0" TargetMode="External"/><Relationship Id="rId33" Type="http://schemas.openxmlformats.org/officeDocument/2006/relationships/hyperlink" Target="https://www.dropbox.com/scl/fi/3xw8o5ccc3plybogptvqn/QUJAN21008.mp4?rlkey=uxc6mxkfff7iohhux6y78t348&amp;st=2xere0pc&amp;dl=0" TargetMode="External"/><Relationship Id="rId10" Type="http://schemas.openxmlformats.org/officeDocument/2006/relationships/hyperlink" Target="https://www.dropbox.com/scl/fo/k53k4rr7ew5js1ts6tt7l/AEIJxv2wTLou1Im8BBKVB7o?rlkey=0g8c4rsna7c0lkoezn2ovd7hx&amp;dl=0" TargetMode="External"/><Relationship Id="rId32" Type="http://schemas.openxmlformats.org/officeDocument/2006/relationships/hyperlink" Target="https://www.dropbox.com/scl/fo/jawtea4g6o7bpteky7lwd/AONkC5ja-bAa43MZHKK4oL4?rlkey=i9tgvoibv9ud3eh284pw7kqy2&amp;st=immc0lai&amp;dl=0" TargetMode="External"/><Relationship Id="rId13" Type="http://schemas.openxmlformats.org/officeDocument/2006/relationships/hyperlink" Target="https://www.dropbox.com/scl/fo/znnr3sb7l37z1lwe5hi5s/AGHtQNcJ4wqoQD-iG8p1eYA?rlkey=iw3k2t7yzaow7nbzedp4gbrqm&amp;st=6mtzz4nq&amp;dl=0" TargetMode="External"/><Relationship Id="rId35" Type="http://schemas.openxmlformats.org/officeDocument/2006/relationships/hyperlink" Target="https://www.dropbox.com/scl/fi/bsh3pxizyj6kv24kv6k2g/QUJAN19003.mp4?rlkey=h3ra6bqykqxwpx3hafntfr9dz&amp;st=bd5lihze&amp;dl=0" TargetMode="External"/><Relationship Id="rId12" Type="http://schemas.openxmlformats.org/officeDocument/2006/relationships/hyperlink" Target="https://www.dropbox.com/scl/fi/g1ojxpz1wypq38bv1ofc2/AI-agent-ng-xu-ng-b-b-i.jpg?rlkey=41rqzwr0p2r9iskk371jzgaws&amp;st=ed4418z8&amp;dl=0" TargetMode="External"/><Relationship Id="rId34" Type="http://schemas.openxmlformats.org/officeDocument/2006/relationships/hyperlink" Target="https://www.dropbox.com/scl/fo/oxvkefp0fajgg9a0oub05/AKb71XirjmSdSV_zF8O_qJ8?rlkey=6ycrt2fyfuje4b64quymfu32w&amp;st=opwx2yks&amp;dl=0" TargetMode="External"/><Relationship Id="rId15" Type="http://schemas.openxmlformats.org/officeDocument/2006/relationships/hyperlink" Target="https://www.dropbox.com/scl/fi/tigqc34z0fusceqzg5fyt/TADEC04003Rev2.mp4?e=1&amp;fbclid=IwY2xjawPkUk5leHRuA2FlbQIxMABicmlkETE1aGdEV1FFVmZxRk9jUVRjc3J0YwZhcHBfaWQQMjIyMDM5MTc4ODIwMDg5MgABHrNKL435kGlkxj3b9um6ArX_cww70_Kp1TTnrnUsgCTwrlVEP9kF-Ux3qwkV_aem_RQ_leOnUF8N6D-vxv42yBA&amp;rlkey=7ud3xpuhow1x8epuhd3ehedue&amp;st=861eayh0&amp;dl=0" TargetMode="External"/><Relationship Id="rId37" Type="http://schemas.openxmlformats.org/officeDocument/2006/relationships/hyperlink" Target="https://www.dropbox.com/scl/fi/19irl99nlibksqrehxozf/QUJAN19003Rev2.mp4?rlkey=ppizgpcxnsgejzsptlva3ctee&amp;st=t6827qho&amp;dl=0" TargetMode="External"/><Relationship Id="rId14" Type="http://schemas.openxmlformats.org/officeDocument/2006/relationships/hyperlink" Target="https://www.dropbox.com/scl/fo/kw4vrsig3dqefiyvomhtj/ACvvBHgCfP22o3LqFvF7nf0?rlkey=tjjtvo7e5h1t2jo5ko4dpg3fk&amp;dl=0" TargetMode="External"/><Relationship Id="rId36" Type="http://schemas.openxmlformats.org/officeDocument/2006/relationships/hyperlink" Target="https://www.dropbox.com/scl/fo/7v6xgj4gheh466n0jr8jv/AFXhnkFtGPhF6jC7O4woJ_w?rlkey=rqswxlqfv5tjqd9q7f4kxwjhb&amp;e=1&amp;dl=0" TargetMode="External"/><Relationship Id="rId17" Type="http://schemas.openxmlformats.org/officeDocument/2006/relationships/hyperlink" Target="https://www.dropbox.com/scl/fo/xiofzi74dvbg98abbp62e/AKFxvMUJQEqBNUcGsHA7JN0?rlkey=lhlx2zcxcr4vbboowzvchfdhc&amp;st=wfe6qvet&amp;dl=0" TargetMode="External"/><Relationship Id="rId39" Type="http://schemas.openxmlformats.org/officeDocument/2006/relationships/hyperlink" Target="https://www.dropbox.com/scl/fo/jrem0hdy1d4fvzi0fsjao/AAnQ9OaTZgB-sTL7SP-JHp0?rlkey=b63m8tm0sdfl6z4rnicgq2uk9&amp;dl=0" TargetMode="External"/><Relationship Id="rId16" Type="http://schemas.openxmlformats.org/officeDocument/2006/relationships/hyperlink" Target="https://www.dropbox.com/scl/fo/alijlctnv8ogaben7qu3d/ALSwQAggHoIsTGMMasS3tUk?rlkey=f8cb5nvux42996jcsushqcsxm&amp;st=z91y59hn&amp;dl=0" TargetMode="External"/><Relationship Id="rId38" Type="http://schemas.openxmlformats.org/officeDocument/2006/relationships/hyperlink" Target="https://www.dropbox.com/scl/fo/00mtde91xzobkw0ywc9hi/AL2i_fqsWBOBSRcXWqgJ8jg?rlkey=wgfk8zjaqytwqulvy6jx4ubyq&amp;dl=0" TargetMode="External"/><Relationship Id="rId19" Type="http://schemas.openxmlformats.org/officeDocument/2006/relationships/hyperlink" Target="https://www.dropbox.com/scl/fi/bjvb5jfws9n0h0vo00shf/y-t-ng-kh-i.mp4?e=1&amp;fbclid=IwY2xjawPlUMxleHRuA2FlbQIxMABicmlkETFkOU0wRUtMM3Q0bUJFRXNtc3J0YwZhcHBfaWQQMjIyMDM5MTc4ODIwMDg5MgABHjrGgjx__v7GSpOSB41PHtdopshUBIfimpBL9hmfFdT2-TLrUcA4fENZxNZC_aem_N_z16kwbHb-4S5_VfGpMaQ&amp;rlkey=3o95zvygxsfzpsi5el15czulm&amp;st=m8swrj82&amp;dl=0" TargetMode="External"/><Relationship Id="rId18" Type="http://schemas.openxmlformats.org/officeDocument/2006/relationships/hyperlink" Target="https://www.instagram.com/reel/DRwGrcwDF25/?igsh=aGVsNm5pMGhlcWZ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reel/DSwK_ZNCETu/?utm_source=ig_web_copy_link" TargetMode="External"/><Relationship Id="rId2" Type="http://schemas.openxmlformats.org/officeDocument/2006/relationships/hyperlink" Target="https://www.instagram.com/reel/DSAbatijSMP/?utm_source=ig_web_copy_link&amp;igsh=MzRlODBiNWFlZA==" TargetMode="External"/><Relationship Id="rId3" Type="http://schemas.openxmlformats.org/officeDocument/2006/relationships/hyperlink" Target="https://www.instagram.com/reel/DTvLS4NjO-S/?utm_source=ig_web_copy_link&amp;igsh=MzRlODBiNWFlZA==" TargetMode="External"/><Relationship Id="rId4" Type="http://schemas.openxmlformats.org/officeDocument/2006/relationships/hyperlink" Target="https://www.instagram.com/reel/DTfMBpyCJgJ/?utm_source=ig_web_copy_link&amp;igsh=MzRlODBiNWFlZA=="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dropbox.com/scl/fi/ytzhi76vf656dhmwxdsys/THDEC31004.mp4?rlkey=t7dsd4alcaapindoiu6y13td9&amp;st=1wb5dau3&amp;dl=0" TargetMode="External"/><Relationship Id="rId194" Type="http://schemas.openxmlformats.org/officeDocument/2006/relationships/hyperlink" Target="https://www.dropbox.com/scl/fo/65xh5pk32ov01bk541pa1/AEjCDsU4HSwJGgazVHN9ZFY?rlkey=qicc5qz8q5a4ysmvostw7audk&amp;dl=0" TargetMode="External"/><Relationship Id="rId193" Type="http://schemas.openxmlformats.org/officeDocument/2006/relationships/hyperlink" Target="https://www.dropbox.com/scl/fo/fw9bgf7pvbw76p1le5vo3/AExvyezKeCKtXCEJOvUMjJA?rlkey=a6tfb68tbp8a9uihq5rciiy2h&amp;st=eu4ds8hm&amp;dl=0" TargetMode="External"/><Relationship Id="rId192" Type="http://schemas.openxmlformats.org/officeDocument/2006/relationships/hyperlink" Target="https://www.dropbox.com/scl/fo/h8aogbnozm8mq7e50ix90/AF8yAhSHtEjPzySbxku1HSg?rlkey=h8av4mdttir8ei6vjg5syavvp&amp;dl=0" TargetMode="External"/><Relationship Id="rId191" Type="http://schemas.openxmlformats.org/officeDocument/2006/relationships/hyperlink" Target="https://gemini.google.com/share/6813ecbc1c78" TargetMode="External"/><Relationship Id="rId187" Type="http://schemas.openxmlformats.org/officeDocument/2006/relationships/hyperlink" Target="https://www.dropbox.com/scl/fo/tebos1teagx94m2bs9oa6/AMwcSeMa9oJvGS4Qv_VB-dM?rlkey=z15u3l4sv4rjw8ez3xkad64cc&amp;dl=0" TargetMode="External"/><Relationship Id="rId186" Type="http://schemas.openxmlformats.org/officeDocument/2006/relationships/hyperlink" Target="https://www.dropbox.com/scl/fo/ruvktnwt479kpfl09h1ml/ABg-8Vucex2XdJvYd5nvoAs?rlkey=n3pd53pysyehaovk2aoex6glx&amp;st=ztl4ulzm&amp;dl=0" TargetMode="External"/><Relationship Id="rId185" Type="http://schemas.openxmlformats.org/officeDocument/2006/relationships/hyperlink" Target="https://www.dropbox.com/scl/fo/zmoi2d4tla4dm9ynulokh/AJpdgo92QNswI9IXceCyDx8?rlkey=udikl1wak4lw8e77hyt4ctbe0&amp;dl=0" TargetMode="External"/><Relationship Id="rId184" Type="http://schemas.openxmlformats.org/officeDocument/2006/relationships/hyperlink" Target="https://www.dropbox.com/scl/fo/3sd84zdx2mnnwi79ad7ix/ANXYiL3djCkSdF7HsCZZgok?rlkey=7aq0zdxqsov8f1j83ksif150i&amp;st=inn7qer6&amp;dl=0" TargetMode="External"/><Relationship Id="rId189" Type="http://schemas.openxmlformats.org/officeDocument/2006/relationships/hyperlink" Target="https://www.dropbox.com/scl/fo/6vws8nzmgrli2og7viiks/AEX1kDI_yZsjWKHoxNdJxEY?rlkey=i929abfqzgczxr3wi23kawxl0&amp;dl=0" TargetMode="External"/><Relationship Id="rId188" Type="http://schemas.openxmlformats.org/officeDocument/2006/relationships/hyperlink" Target="https://www.dropbox.com/scl/fo/s4hd4xzbsacn7ogjcutpw/AJugvuM4c50ZoaLKDDmTOms?rlkey=5z5y12lwt8ocseo4ffbkxnb7k&amp;st=nt11mxw7&amp;dl=0" TargetMode="External"/><Relationship Id="rId183" Type="http://schemas.openxmlformats.org/officeDocument/2006/relationships/hyperlink" Target="https://www.dropbox.com/scl/fo/8vlapdlifixm0ogouwmhj/ADT9cyTv9PW4cOex_CnR58w?rlkey=0nkpb4x9isjwo9sydj1nhdztx&amp;st=jhqlwupu&amp;dl=0" TargetMode="External"/><Relationship Id="rId182" Type="http://schemas.openxmlformats.org/officeDocument/2006/relationships/hyperlink" Target="https://www.dropbox.com/scl/fo/vm5ob3q6n2e4g4ujcndjh/ACNeZHyq0w0R7GsnZwNnYX8?rlkey=pfc8rmyx0uvsakm0ntay316ww&amp;st=wd44l9gc&amp;dl=0" TargetMode="External"/><Relationship Id="rId181" Type="http://schemas.openxmlformats.org/officeDocument/2006/relationships/hyperlink" Target="https://www.dropbox.com/scl/fo/05ijswbt2a970ivgq436q/AFf5RKhd3NGybZNIActZf8M?rlkey=dq2b4iutt32jgyykugxfi5a2v&amp;st=p6x4fvpk&amp;dl=0" TargetMode="External"/><Relationship Id="rId180" Type="http://schemas.openxmlformats.org/officeDocument/2006/relationships/hyperlink" Target="https://www.dropbox.com/scl/fo/nhrkr2lwv3vk7me6phyll/ACpo5XzKh9bubuPCYN1Ldk0?rlkey=077y0j0r2c9g4si5h5rzyndvl&amp;st=ib6s6n18&amp;dl=0" TargetMode="External"/><Relationship Id="rId176" Type="http://schemas.openxmlformats.org/officeDocument/2006/relationships/hyperlink" Target="https://www.dropbox.com/scl/fo/4fdgmut2m27rwxhhpj55l/ACHZZrriE7x5col7xvTyLxg?rlkey=tnr6mw8rem3miwbhceh7vxi3s&amp;st=odmlwrs1&amp;dl=0" TargetMode="External"/><Relationship Id="rId297" Type="http://schemas.openxmlformats.org/officeDocument/2006/relationships/hyperlink" Target="https://www.dropbox.com/scl/fi/71a8ufv2ue1uygm76pd1z/TAFEB03014.mp4?rlkey=nxyth4uirayvx3367s4wvhh0a&amp;st=2kf4h2a1&amp;dl=0" TargetMode="External"/><Relationship Id="rId175" Type="http://schemas.openxmlformats.org/officeDocument/2006/relationships/hyperlink" Target="https://www.dropbox.com/scl/fo/taa59mj2ct1kuhvpidx29/AFBPs2UgCr8PJ9eQfup9k3k?rlkey=twcy8cblrsydzc8n8fjjr8dit&amp;dl=0" TargetMode="External"/><Relationship Id="rId296" Type="http://schemas.openxmlformats.org/officeDocument/2006/relationships/hyperlink" Target="https://www.dropbox.com/t/7PKXJcTHacdFPXAm" TargetMode="External"/><Relationship Id="rId174" Type="http://schemas.openxmlformats.org/officeDocument/2006/relationships/hyperlink" Target="https://www.dropbox.com/scl/fo/wcxl6jsbhdnr5znr4u24w/ACTLQrwBihA75t-nwZY8eYc?rlkey=el1ajunw88h1s7thhscllp3et&amp;st=b02m07tk&amp;dl=0" TargetMode="External"/><Relationship Id="rId295" Type="http://schemas.openxmlformats.org/officeDocument/2006/relationships/hyperlink" Target="https://gemini.google.com/share/19fc32417068" TargetMode="External"/><Relationship Id="rId173" Type="http://schemas.openxmlformats.org/officeDocument/2006/relationships/hyperlink" Target="https://www.dropbox.com/t/jiEvk6edz3RJ0fea" TargetMode="External"/><Relationship Id="rId294" Type="http://schemas.openxmlformats.org/officeDocument/2006/relationships/hyperlink" Target="https://www.dropbox.com/scl/fo/yurtxpi0kduw92f5ayqb8/AJo2XIRcKS3zBPkPi9qo8Xw?rlkey=pons2n8ffjpp8prnqgg75corl&amp;st=1rjisq07&amp;dl=0" TargetMode="External"/><Relationship Id="rId179" Type="http://schemas.openxmlformats.org/officeDocument/2006/relationships/hyperlink" Target="https://www.dropbox.com/scl/fo/gegp7x0gw2fu08x5tyg29/ABGLXzcGyDM2HUfb5YB0-O0?rlkey=192pqpxqbbdzlfd2xy6tjfwbf&amp;st=88o2qozd&amp;dl=0" TargetMode="External"/><Relationship Id="rId178" Type="http://schemas.openxmlformats.org/officeDocument/2006/relationships/hyperlink" Target="https://www.dropbox.com/scl/fo/ruvktnwt479kpfl09h1ml/ABg-8Vucex2XdJvYd5nvoAs?rlkey=n3pd53pysyehaovk2aoex6glx&amp;st=ztl4ulzm&amp;dl=0" TargetMode="External"/><Relationship Id="rId299" Type="http://schemas.openxmlformats.org/officeDocument/2006/relationships/hyperlink" Target="https://www.dropbox.com/scl/fi/mojexh0ty2s8c6rh8lh0b/NGFEB04005.mp4?rlkey=hwprhordrj8t5v6uqdfp2l0lo&amp;st=jd1xs3x8&amp;dl=0" TargetMode="External"/><Relationship Id="rId177" Type="http://schemas.openxmlformats.org/officeDocument/2006/relationships/hyperlink" Target="https://www.dropbox.com/scl/fo/zmoi2d4tla4dm9ynulokh/AJpdgo92QNswI9IXceCyDx8?rlkey=udikl1wak4lw8e77hyt4ctbe0&amp;dl=0" TargetMode="External"/><Relationship Id="rId298" Type="http://schemas.openxmlformats.org/officeDocument/2006/relationships/hyperlink" Target="https://www.dropbox.com/scl/fo/2dtlai4wbuuxfi0u6w5ii/AMAwjL7AhWYNTmzn2P3uLBs?rlkey=2lmrjvdjyhnxk8mf54ywm3k3j&amp;dl=0" TargetMode="External"/><Relationship Id="rId198" Type="http://schemas.openxmlformats.org/officeDocument/2006/relationships/hyperlink" Target="https://gemini.google.com/share/7093a83f46ac" TargetMode="External"/><Relationship Id="rId197" Type="http://schemas.openxmlformats.org/officeDocument/2006/relationships/hyperlink" Target="https://www.dropbox.com/scl/fi/q49zerl41wsrpec4mnv2q/TADEC31004Rev.mp4?rlkey=aebinq1mqjjtm5g7qaf1ismb1&amp;st=81m9er46&amp;dl=0" TargetMode="External"/><Relationship Id="rId196" Type="http://schemas.openxmlformats.org/officeDocument/2006/relationships/hyperlink" Target="https://www.dropbox.com/scl/fo/65xh5pk32ov01bk541pa1/AEjCDsU4HSwJGgazVHN9ZFY?rlkey=qicc5qz8q5a4ysmvostw7audk&amp;dl=0" TargetMode="External"/><Relationship Id="rId195" Type="http://schemas.openxmlformats.org/officeDocument/2006/relationships/hyperlink" Target="https://www.dropbox.com/scl/fi/xm3hrq0acgcn1hwkezy79/TADEC31004.mp4?rlkey=psagvqh9gss6tz9gr79ru8qt4&amp;st=ucgzbm5f&amp;dl=0" TargetMode="External"/><Relationship Id="rId199" Type="http://schemas.openxmlformats.org/officeDocument/2006/relationships/hyperlink" Target="https://www.dropbox.com/scl/fo/9rbxnf2klmvs0y98p4uoo/ABTokspNCBKYAMXl3-X2rh4?rlkey=vihqf5bicsxwxkq5jxkarq46z&amp;dl=0" TargetMode="External"/><Relationship Id="rId150" Type="http://schemas.openxmlformats.org/officeDocument/2006/relationships/hyperlink" Target="https://www.dropbox.com/scl/fo/bu30hzvdpksxtzx2d05cc/AAvyIm-ynZz1lwxIR-JNoP4?rlkey=a6yo1ks1rjuhszt6ioqabnasj&amp;st=ovduqecw&amp;dl=0" TargetMode="External"/><Relationship Id="rId271" Type="http://schemas.openxmlformats.org/officeDocument/2006/relationships/hyperlink" Target="https://www.dropbox.com/scl/fo/uts357sz3mhgjan496a9y/AMb6XvFaVfI6FkaNgoWHV2M?rlkey=5sruse6famnwl7y5n7nytf9q6&amp;st=0fcy3iyc&amp;dl=0" TargetMode="External"/><Relationship Id="rId392" Type="http://schemas.openxmlformats.org/officeDocument/2006/relationships/hyperlink" Target="https://www.dropbox.com/scl/fi/0ylysoc3patulv4u0iwn3/TAJAN16002.mp4?rlkey=y56udn4v2mn65vs2zmbwcgh2g&amp;st=2x8j5rau&amp;dl=0" TargetMode="External"/><Relationship Id="rId270" Type="http://schemas.openxmlformats.org/officeDocument/2006/relationships/hyperlink" Target="https://www.dropbox.com/scl/fo/y1xlprr6shk3sbd88d5sj/ADSMc2XtUkBiIbSBOeVIDYw?rlkey=l8g0ctxmx6f9yagpm9j7r94vv&amp;dl=0" TargetMode="External"/><Relationship Id="rId391" Type="http://schemas.openxmlformats.org/officeDocument/2006/relationships/hyperlink" Target="https://www.dropbox.com/scl/fo/t92ad88z8qifr994olqld/AL92ynYM0IkbgabuRr8rCLo?rlkey=3yo7ie9las07jwo1vrzyzrupn&amp;dl=0" TargetMode="External"/><Relationship Id="rId390" Type="http://schemas.openxmlformats.org/officeDocument/2006/relationships/hyperlink" Target="https://www.dropbox.com/scl/fo/yufnhl0gy0j70van23pdx/AHrLE6EPpa-LxBMjAm24Pm0?rlkey=qgaokw7gh2aboieu4omjv66tp&amp;st=d0wx85vf&amp;dl=0" TargetMode="External"/><Relationship Id="rId1" Type="http://schemas.openxmlformats.org/officeDocument/2006/relationships/hyperlink" Target="https://www.dropbox.com/scl/fi/6fs2zr8p6shxo0lc09jj4/8-Acre-Lot-1.png?rlkey=lq3v9i6wql15rl5rpamj0vcxa&amp;dl=0" TargetMode="External"/><Relationship Id="rId2" Type="http://schemas.openxmlformats.org/officeDocument/2006/relationships/hyperlink" Target="https://www.dropbox.com/scl/fi/0qgpeo2m4o60ireh8q0du/HTNOV27011Rev.mp4?rlkey=k820ldja5ksn6rg6pkvhbiou4&amp;st=eoycrwer&amp;dl=0" TargetMode="External"/><Relationship Id="rId3" Type="http://schemas.openxmlformats.org/officeDocument/2006/relationships/hyperlink" Target="https://www.dropbox.com/scl/fo/j7os5qjeqefycfvnyc2lx/ABjCqmQHC0-5BFmtmqRsBy4?rlkey=fis2bw9xsbp9soa4pin92tpqm&amp;st=w3lcl5xk&amp;dl=0" TargetMode="External"/><Relationship Id="rId149" Type="http://schemas.openxmlformats.org/officeDocument/2006/relationships/hyperlink" Target="https://www.dropbox.com/scl/fo/qst66uquqf8ptmgiyghtj/AAa7eYF7Sbkd_UjfBqj5UDk?rlkey=i66wwe90yt2bxcr4a03dsq6mr&amp;dl=0" TargetMode="External"/><Relationship Id="rId4" Type="http://schemas.openxmlformats.org/officeDocument/2006/relationships/hyperlink" Target="https://www.dropbox.com/scl/fo/hwopo642qabbeyot6pqll/APshVG2XwkUvj7yzQl1O940?rlkey=z6t8b9uao6g5h2u4v3ff7jeey&amp;st=jeqx5hjd&amp;dl=0" TargetMode="External"/><Relationship Id="rId148" Type="http://schemas.openxmlformats.org/officeDocument/2006/relationships/hyperlink" Target="https://gemini.google.com/share/d51d3d374c91" TargetMode="External"/><Relationship Id="rId269" Type="http://schemas.openxmlformats.org/officeDocument/2006/relationships/hyperlink" Target="https://gemini.google.com/share/5abb754f467b" TargetMode="External"/><Relationship Id="rId9" Type="http://schemas.openxmlformats.org/officeDocument/2006/relationships/hyperlink" Target="https://www.dropbox.com/scl/fo/dqlgb636xav2qpwaxj1va/ALzFL5kn8lnk3NBdXnFeBiM?rlkey=zt00n62z2yikq3f632ewk480u&amp;st=1xzrgss6&amp;dl=0" TargetMode="External"/><Relationship Id="rId143" Type="http://schemas.openxmlformats.org/officeDocument/2006/relationships/hyperlink" Target="https://www.dropbox.com/scl/fo/iavoii6bf135mg543h9t7/ADaJgg5KoSCYPf_z6sBz13A?rlkey=q0c2oy5u49oybgntgqu9znf1o&amp;dl=0" TargetMode="External"/><Relationship Id="rId264" Type="http://schemas.openxmlformats.org/officeDocument/2006/relationships/hyperlink" Target="https://www.dropbox.com/scl/fi/9xsroagbxeyat5wp1kler/TLJAN30009-1.mp4?rlkey=sz920n9qlc4ltmj9xnjhuqqyl&amp;st=wowlpqyw&amp;dl=0" TargetMode="External"/><Relationship Id="rId385" Type="http://schemas.openxmlformats.org/officeDocument/2006/relationships/hyperlink" Target="https://www.dropbox.com/scl/fi/5xklq3wzd5ll82op5r1aq/TRDEC21004.mp4?rlkey=1nouhbwkuzg1ih4yi2a835c09&amp;st=snt91d9s&amp;dl=0" TargetMode="External"/><Relationship Id="rId142" Type="http://schemas.openxmlformats.org/officeDocument/2006/relationships/hyperlink" Target="https://www.dropbox.com/scl/fi/0evmkdhd3klnl3012twg2/NHJAN06012.mp4?rlkey=xu12fa343y6llf1ftoc2nquc6&amp;st=9gs00krf&amp;dl=0" TargetMode="External"/><Relationship Id="rId263" Type="http://schemas.openxmlformats.org/officeDocument/2006/relationships/hyperlink" Target="https://www.dropbox.com/scl/fo/1jeqtpwlp4tk4n40yh4ui/AETFxFgPd7tvvjr910dhf4U?rlkey=4tkgdbpqw0iuyvyporthbn717&amp;st=hp7qp3mu&amp;dl=0" TargetMode="External"/><Relationship Id="rId384" Type="http://schemas.openxmlformats.org/officeDocument/2006/relationships/hyperlink" Target="https://www.dropbox.com/scl/fo/7kms7jqxy2s9splv5ldsc/ALbuEmhbX6ofgGQXIY_GaBg?rlkey=1j9punk7tcufu38zhq6h54evz&amp;st=cz5fwz8t&amp;dl=0" TargetMode="External"/><Relationship Id="rId141" Type="http://schemas.openxmlformats.org/officeDocument/2006/relationships/hyperlink" Target="https://www.dropbox.com/scl/fo/p2noq7wzl9mlcqsovizqp/AEz8LG9lZedeGDxcetygEl0?rlkey=mf32bvnxzg4z0aflsjjl4i7hy&amp;dl=0" TargetMode="External"/><Relationship Id="rId262" Type="http://schemas.openxmlformats.org/officeDocument/2006/relationships/hyperlink" Target="https://www.dropbox.com/scl/fi/2zscfwrq62sui20f4sypw/NHJAN29012.mp4?rlkey=4097eu72itnsfak3uygwu59v6&amp;st=tcz7lzsu&amp;dl=0" TargetMode="External"/><Relationship Id="rId383" Type="http://schemas.openxmlformats.org/officeDocument/2006/relationships/hyperlink" Target="https://www.dropbox.com/scl/fo/ividawnfgibxl28k0uo7b/ANy5pzIj3f8_R5UO8p2nKms?rlkey=to74nenkr4kkzgau7cr5hpl9x&amp;st=tv30ds13&amp;dl=0" TargetMode="External"/><Relationship Id="rId140" Type="http://schemas.openxmlformats.org/officeDocument/2006/relationships/hyperlink" Target="https://www.dropbox.com/scl/fi/h7dn5yvb3xfor41yo57qn/HTJAN07004.mp4?rlkey=vqjdkenvjlwr5ivhe00nwf6q5&amp;st=g38z77p5&amp;dl=0" TargetMode="External"/><Relationship Id="rId261" Type="http://schemas.openxmlformats.org/officeDocument/2006/relationships/hyperlink" Target="https://www.dropbox.com/scl/fo/s0khitzyqd1hij5mspy7s/AK5smp_dpQNrqRi0Qv_K1DI?rlkey=c59zipu5fh8jk0929sgy98kr3&amp;st=0xdtu1i1&amp;dl=0" TargetMode="External"/><Relationship Id="rId382" Type="http://schemas.openxmlformats.org/officeDocument/2006/relationships/hyperlink" Target="https://www.dropbox.com/scl/fo/kk88mt8m59j2bjjnkyxv1/ADITN5yUqgeAcsT7ZweMeLQ?rlkey=olu3scc4ptff6yovnbboy8hsg&amp;dl=0" TargetMode="External"/><Relationship Id="rId5" Type="http://schemas.openxmlformats.org/officeDocument/2006/relationships/hyperlink" Target="https://www.dropbox.com/scl/fi/sqp6114mj7jwj2zas0ks4/Ngang.jpg?rlkey=m449sk4u5ho1cjacfe03oobvl&amp;st=sajr6z4f&amp;dl=0" TargetMode="External"/><Relationship Id="rId147" Type="http://schemas.openxmlformats.org/officeDocument/2006/relationships/hyperlink" Target="https://www.dropbox.com/scl/fi/v363aa1ghq3eoz4p70riv/VUJAN07003.mp4?rlkey=mwgkhx9bzvozlrkioq3ymxpld&amp;st=fjgadoj3&amp;dl=0" TargetMode="External"/><Relationship Id="rId268" Type="http://schemas.openxmlformats.org/officeDocument/2006/relationships/hyperlink" Target="https://www.dropbox.com/scl/fo/4b96e2i17494gut7kvfdn/AK3IxadfemP2EpcTaDx3XBE?rlkey=wlfdjt3edvfd84econrvxcsvc&amp;st=i7dykllx&amp;dl=0" TargetMode="External"/><Relationship Id="rId389" Type="http://schemas.openxmlformats.org/officeDocument/2006/relationships/hyperlink" Target="https://www.dropbox.com/scl/fo/oad7g613s8ae9an705lsg/AJ4ZwrQKEgIaxsSKQHNT66Y?rlkey=xtk63hml1cqkdm6fk17z6x02z&amp;st=3yk9295s&amp;dl=0" TargetMode="External"/><Relationship Id="rId6" Type="http://schemas.openxmlformats.org/officeDocument/2006/relationships/hyperlink" Target="https://www.dropbox.com/scl/fi/yj3vpdbv7veppxgl3hktz/THDEC03035..mp4?rlkey=jeibqsugao7096vgzht7tzxbd&amp;st=g314lkgv&amp;dl=0" TargetMode="External"/><Relationship Id="rId146" Type="http://schemas.openxmlformats.org/officeDocument/2006/relationships/hyperlink" Target="https://www.dropbox.com/scl/fo/mjrmd4hepkjxpa5xxob8a/ANim_Q9LZlFnuTY5EPKg6xo?rlkey=ww2de7kojjxyvc2skr5h07dkn&amp;dl=0" TargetMode="External"/><Relationship Id="rId267" Type="http://schemas.openxmlformats.org/officeDocument/2006/relationships/hyperlink" Target="https://www.dropbox.com/scl/fo/h4op444z5jxudlwt5nuuj/AKhEeo5_F7aIwT3TWaSx_gQ?rlkey=tqhws8sly0q5eoln39kf2worh&amp;dl=0" TargetMode="External"/><Relationship Id="rId388" Type="http://schemas.openxmlformats.org/officeDocument/2006/relationships/hyperlink" Target="https://gemini.google.com/share/09376daa9c0a" TargetMode="External"/><Relationship Id="rId7" Type="http://schemas.openxmlformats.org/officeDocument/2006/relationships/hyperlink" Target="https://www.dropbox.com/scl/fo/t34i0926wlci9bwatwlcb/ALRxnGkddW_4AoAs_as_WeE?rlkey=6naytt3stmw5rsdg5ltzprmki&amp;dl=0" TargetMode="External"/><Relationship Id="rId145" Type="http://schemas.openxmlformats.org/officeDocument/2006/relationships/hyperlink" Target="https://gemini.google.com/share/de712a4e0829" TargetMode="External"/><Relationship Id="rId266" Type="http://schemas.openxmlformats.org/officeDocument/2006/relationships/hyperlink" Target="https://www.dropbox.com/scl/fi/li6cwyx0213qj78970i9s/THJAN30024.mp4?rlkey=rkxf9ni3me1g7kd7we7ob8pcj&amp;st=y5nkb37q&amp;dl=0" TargetMode="External"/><Relationship Id="rId387" Type="http://schemas.openxmlformats.org/officeDocument/2006/relationships/hyperlink" Target="https://www.dropbox.com/scl/fo/6kb58vf2tjknggacm9kzm/AHU5MfdSdkHYwsQEsEXO29g?rlkey=ymcrlvj5uz9zvf3eodafqfbjo&amp;st=vf9qbnr8&amp;dl=0" TargetMode="External"/><Relationship Id="rId8" Type="http://schemas.openxmlformats.org/officeDocument/2006/relationships/hyperlink" Target="https://www.dropbox.com/scl/fo/bdk665j9m9xk65hrhvp6b/APXkggdOM4eJhzCvbGvZzzA?rlkey=xyn6qhrxuy7mbd1zn2ruz1cdy&amp;st=8l2oxsg5&amp;dl=0" TargetMode="External"/><Relationship Id="rId144" Type="http://schemas.openxmlformats.org/officeDocument/2006/relationships/hyperlink" Target="https://www.dropbox.com/scl/fi/u8uj91cmbjkjcg044f0lr/VUJAN07001.mp4?rlkey=fczenpqexvrfzzc9k43311tnh&amp;st=43lbmlc0&amp;dl=0" TargetMode="External"/><Relationship Id="rId265" Type="http://schemas.openxmlformats.org/officeDocument/2006/relationships/hyperlink" Target="https://www.dropbox.com/scl/fo/x0drcbvu61dsa2032wqk7/AA-Jf72ix-RF64dfAOQPV4Y?rlkey=bkoj9g3th4enl8lh4hkm3r1yt&amp;dl=0" TargetMode="External"/><Relationship Id="rId386" Type="http://schemas.openxmlformats.org/officeDocument/2006/relationships/hyperlink" Target="https://www.dropbox.com/scl/fo/toi04xrj91beop6c8nmuh/AKTxlvVv8thFWOV3k3s3LZ0?rlkey=qw4u9upkvfysi7suo12i97mxf&amp;st=z6c4qw81&amp;dl=0" TargetMode="External"/><Relationship Id="rId260" Type="http://schemas.openxmlformats.org/officeDocument/2006/relationships/hyperlink" Target="https://www.dropbox.com/scl/fo/enjnfj2vblpsswv9ggx0n/AAxLklSoq2_XcN6w3AWOnW8?rlkey=h4kgbtjl54tt2otyo2ibb3as6&amp;st=qqp2hnl1&amp;dl=0" TargetMode="External"/><Relationship Id="rId381" Type="http://schemas.openxmlformats.org/officeDocument/2006/relationships/hyperlink" Target="https://www.dropbox.com/scl/fi/obntutcgbydt2wqgphqxx/n-4k.mp4?rlkey=okbtaonfj6l7ssuva3138uc6a&amp;st=1dwlrlbw&amp;dl=0" TargetMode="External"/><Relationship Id="rId380" Type="http://schemas.openxmlformats.org/officeDocument/2006/relationships/hyperlink" Target="https://www.dropbox.com/scl/fo/9ku4qwi1cazm7rlwhu7wb/ACswNZOabemEdtBVV7QUndQ?rlkey=m4kngacs2gg1egw4b977nus7n&amp;dl=0" TargetMode="External"/><Relationship Id="rId139" Type="http://schemas.openxmlformats.org/officeDocument/2006/relationships/hyperlink" Target="https://www.dropbox.com/scl/fo/kfq5qclm1n494hz9i9q5i/AAY5ipTnj2g9mutmCGC0MSg?rlkey=gacokqskthsfmdt4elv4fdn74&amp;dl=0" TargetMode="External"/><Relationship Id="rId138" Type="http://schemas.openxmlformats.org/officeDocument/2006/relationships/hyperlink" Target="https://gemini.google.com/share/e05c4bcf3848" TargetMode="External"/><Relationship Id="rId259" Type="http://schemas.openxmlformats.org/officeDocument/2006/relationships/hyperlink" Target="https://www.dropbox.com/scl/fo/80126554iegqgp5b4l2h4/AOns9CkvhxYFEZY3bwDfCK8?rlkey=ovbt89u358pafzaluq1fqo6rp&amp;st=or7mb9kh&amp;dl=0" TargetMode="External"/><Relationship Id="rId137" Type="http://schemas.openxmlformats.org/officeDocument/2006/relationships/hyperlink" Target="https://www.dropbox.com/scl/fi/n9aluaf7416x76owreu1b/LIJAN06012Rev.mp4?rlkey=sx7q5e6t3437ubusuqzvxnk1v&amp;st=2btoc2m9&amp;dl=0" TargetMode="External"/><Relationship Id="rId258" Type="http://schemas.openxmlformats.org/officeDocument/2006/relationships/hyperlink" Target="https://www.dropbox.com/scl/fo/ukyrptgqa86xpvt7d2xjs/AMzgsi6ycDrNAMVggEUxOUo?rlkey=xv7r63gr031ojumpxfqagm8bd&amp;st=cfhz417y&amp;dl=0" TargetMode="External"/><Relationship Id="rId379" Type="http://schemas.openxmlformats.org/officeDocument/2006/relationships/hyperlink" Target="https://www.dropbox.com/scl/fi/nn4xp592111en2go9czmd/VADEC20003Rev.mp4?rlkey=w8kkfqqbi682s14w5g5jzkpye&amp;st=lvftz7gp&amp;dl=0" TargetMode="External"/><Relationship Id="rId132" Type="http://schemas.openxmlformats.org/officeDocument/2006/relationships/hyperlink" Target="https://www.dropbox.com/scl/fo/dmajddjoqo6x185e49xv5/AJc7oYA-HWXVB6a3GqGCxec?rlkey=qhbryjrnkw819181x5cgu4vyy&amp;dl=0" TargetMode="External"/><Relationship Id="rId253" Type="http://schemas.openxmlformats.org/officeDocument/2006/relationships/hyperlink" Target="https://www.dropbox.com/scl/fo/lva4b5sptmu652kidqfod/ABConwEbXJ5tBv450BxSBrs?rlkey=tv228zusjls14cac535vql1oq&amp;st=kuc7me45&amp;dl=0" TargetMode="External"/><Relationship Id="rId374" Type="http://schemas.openxmlformats.org/officeDocument/2006/relationships/hyperlink" Target="https://www.dropbox.com/scl/fo/iukluj5d69yn19317nz5h/ADF10NWUFpW2aciLkZVdrgs?rlkey=seaudp0jjispj8yj40v24dx4o&amp;dl=0" TargetMode="External"/><Relationship Id="rId131" Type="http://schemas.openxmlformats.org/officeDocument/2006/relationships/hyperlink" Target="https://www.dropbox.com/scl/fo/4mho2g7rwntafp4m7rk1j/AGPSKG2S-BUpz00wPF9eUeo?rlkey=ore8e41p3xawkgo4r0geg81b7&amp;st=xdkzylnl&amp;dl=0" TargetMode="External"/><Relationship Id="rId252" Type="http://schemas.openxmlformats.org/officeDocument/2006/relationships/hyperlink" Target="https://www.dropbox.com/scl/fi/2cohoq4t3lfgwke7jquw0/THJAN25011Rev.mp4?rlkey=upvig7992goap9hxx30e00en6&amp;st=zmofg7ti&amp;dl=0" TargetMode="External"/><Relationship Id="rId373" Type="http://schemas.openxmlformats.org/officeDocument/2006/relationships/hyperlink" Target="https://www.dropbox.com/scl/fi/sy7yp2fclscbw7mococ5j/NHJAN22018rev7.mp4?rlkey=12bg9y5rf5kkrie99egw2vw1c&amp;st=yzyuz3bg&amp;dl=0" TargetMode="External"/><Relationship Id="rId130" Type="http://schemas.openxmlformats.org/officeDocument/2006/relationships/hyperlink" Target="https://www.dropbox.com/scl/fo/c3gwwkkxvzp4504xwydxl/AF1CZIVWAz9kkwkNsxMlO8Q?rlkey=ns0gmziuzxbp6rt9o49a01se4&amp;st=uzrz2f0e&amp;dl=0" TargetMode="External"/><Relationship Id="rId251" Type="http://schemas.openxmlformats.org/officeDocument/2006/relationships/hyperlink" Target="https://www.dropbox.com/scl/fo/el62u9cnp7nfbcngej0x9/AIOlwqGaChTGVBneUxxclps?rlkey=mcg0mx392xtl1o019cg4gqqo8&amp;st=01akrsuo&amp;dl=0" TargetMode="External"/><Relationship Id="rId372" Type="http://schemas.openxmlformats.org/officeDocument/2006/relationships/hyperlink" Target="https://www.dropbox.com/scl/fo/pj34w4kyo84jfp38d6nej/AABpajyEwlYi3bdiO6hFqXo?rlkey=mre10x9feyl5105ta306b7nav&amp;st=12oxogti&amp;dl=0" TargetMode="External"/><Relationship Id="rId250" Type="http://schemas.openxmlformats.org/officeDocument/2006/relationships/hyperlink" Target="https://www.dropbox.com/scl/fo/551xhf44zmwunlz8ds7ru/AArOdmV4htvBay1YU1jNL_s?rlkey=abn4r8iep7vofleis837ld2eb&amp;st=mmu7gefy&amp;dl=0" TargetMode="External"/><Relationship Id="rId371" Type="http://schemas.openxmlformats.org/officeDocument/2006/relationships/hyperlink" Target="https://www.dropbox.com/scl/fi/mldokb628kx68md5mb8mb/HAJAN26004.mp4?rlkey=kyzytdw7p4o8gfp1cgavgrhbe&amp;st=l6xvoubw&amp;dl=0" TargetMode="External"/><Relationship Id="rId136" Type="http://schemas.openxmlformats.org/officeDocument/2006/relationships/hyperlink" Target="https://www.dropbox.com/scl/fo/j5ayfyf27juk1jwkxuuxv/ADa3Ih7RMHdux5JQoskr8a0?rlkey=ze57avcwqpbme29w86k5m9hcr&amp;dl=0" TargetMode="External"/><Relationship Id="rId257" Type="http://schemas.openxmlformats.org/officeDocument/2006/relationships/hyperlink" Target="https://www.dropbox.com/scl/fo/upt7hdx32sbqjns55i5ri/AIWDaHzENqrpOZm_vB2RdL4?rlkey=h4zo3pu4i347f4p6dv09ikfic&amp;dl=0" TargetMode="External"/><Relationship Id="rId378" Type="http://schemas.openxmlformats.org/officeDocument/2006/relationships/hyperlink" Target="https://www.dropbox.com/scl/fo/ihns0sy4ww421lzd9i1gl/AEAKoMt899chpL7NU3d9Uq0?rlkey=hd1mpoemqoul3qpywacml0czi&amp;dl=0" TargetMode="External"/><Relationship Id="rId135" Type="http://schemas.openxmlformats.org/officeDocument/2006/relationships/hyperlink" Target="https://www.dropbox.com/scl/fo/n6qnlcfq87szxk4adimym/APLhJwnGjF6o_eyzZ0eVaoQ?rlkey=m16625nh6zatoxz6aysg0efwf&amp;st=qv4071kp&amp;dl=0" TargetMode="External"/><Relationship Id="rId256" Type="http://schemas.openxmlformats.org/officeDocument/2006/relationships/hyperlink" Target="https://www.dropbox.com/scl/fo/76nbzhsjg685qjiyocc2v/AJDOGU_TmwvUoWXAvo-ANEw?rlkey=v3tybd819rdxoeiobtvunowts&amp;st=p2g5ctfg&amp;dl=0" TargetMode="External"/><Relationship Id="rId377" Type="http://schemas.openxmlformats.org/officeDocument/2006/relationships/hyperlink" Target="https://www.dropbox.com/scl/fi/j5fid1n7roc66fcaymlyf/MKTDEC17002-2.mp4?rlkey=u5i5ch1l3f133efp4rvrnm6er&amp;st=5fgi5d27&amp;dl=0" TargetMode="External"/><Relationship Id="rId134" Type="http://schemas.openxmlformats.org/officeDocument/2006/relationships/hyperlink" Target="https://www.dropbox.com/scl/fo/g7q4p664oxwwtjvutct7i/AF7hanhojfWLcYM9X7lAI1A?rlkey=rcfpyxhp1zxr7s1vmtuwv1fmc&amp;dl=0" TargetMode="External"/><Relationship Id="rId255" Type="http://schemas.openxmlformats.org/officeDocument/2006/relationships/hyperlink" Target="https://www.dropbox.com/scl/fo/qx80vtuci91b87ud3b8l6/ADLiJdt6VzQCdIStq4whYmI?rlkey=2w6y3iltcmaf4ny2sy885c5s5&amp;dl=0" TargetMode="External"/><Relationship Id="rId376" Type="http://schemas.openxmlformats.org/officeDocument/2006/relationships/hyperlink" Target="https://www.dropbox.com/scl/fo/2fxzp4ml0b58sugisvo84/AE5PkcDAPVj7834Td976eAM?rlkey=bv121fxf0ggrqjs02sbulxisq&amp;dl=0" TargetMode="External"/><Relationship Id="rId133" Type="http://schemas.openxmlformats.org/officeDocument/2006/relationships/hyperlink" Target="https://www.dropbox.com/scl/fo/275wlh5yhezwvb5lrxcqd/AOGom1i2olCD9G7v-e-gcPY?rlkey=q0tap2u29uhqvs62bi4ri5rnu&amp;st=x0uk2fl7&amp;dl=0" TargetMode="External"/><Relationship Id="rId254" Type="http://schemas.openxmlformats.org/officeDocument/2006/relationships/hyperlink" Target="https://www.dropbox.com/scl/fo/8v3mdanfcm1qd4s9ht1u3/APiVxMbCGBJrB7ZbhqPNrkE?rlkey=5s8grc2iafhye90b26kkksqi4&amp;st=gfl88adb&amp;dl=0" TargetMode="External"/><Relationship Id="rId375" Type="http://schemas.openxmlformats.org/officeDocument/2006/relationships/hyperlink" Target="https://www.dropbox.com/scl/fi/9s8hs8torgt4z2oup2u84/MKTDEC17002-1.mp4?rlkey=kujh91rrtakbasxtv6wm9sr3a&amp;st=erau5kwf&amp;dl=0" TargetMode="External"/><Relationship Id="rId172" Type="http://schemas.openxmlformats.org/officeDocument/2006/relationships/hyperlink" Target="https://www.dropbox.com/scl/fo/ic84rpeq1hz4m260wvvgh/ABxKyJ5DAt2uHV5LWSYHw04?rlkey=uwp82v1pn5j7m1hcbn05j1fv6&amp;st=arf3nll1&amp;dl=0" TargetMode="External"/><Relationship Id="rId293" Type="http://schemas.openxmlformats.org/officeDocument/2006/relationships/hyperlink" Target="https://www.dropbox.com/scl/fo/xh2809gr3q0kgl2z0ajrf/AFqYVQbvySKaauCBkS5_Hhs?rlkey=qkw3s97z1lqqeqxtce77xn384&amp;st=uzrs1lua&amp;dl=0" TargetMode="External"/><Relationship Id="rId171" Type="http://schemas.openxmlformats.org/officeDocument/2006/relationships/hyperlink" Target="https://www.dropbox.com/scl/fo/ndb38l8wejr2o44vm72oy/AJE4KfRyk_eXaOaS0PgIVRg?rlkey=qictthcybdh836og12174l13n&amp;dl=0" TargetMode="External"/><Relationship Id="rId292" Type="http://schemas.openxmlformats.org/officeDocument/2006/relationships/hyperlink" Target="https://gemini.google.com/share/a5aec22c4f19" TargetMode="External"/><Relationship Id="rId170" Type="http://schemas.openxmlformats.org/officeDocument/2006/relationships/hyperlink" Target="https://www.dropbox.com/scl/fi/2x4quoqhm3jiaa3wdi5wj/TRDEC21001.mp4?rlkey=xkld5ar0d1wgmeuf56b33byqa&amp;st=0digbt5w&amp;dl=0" TargetMode="External"/><Relationship Id="rId291" Type="http://schemas.openxmlformats.org/officeDocument/2006/relationships/hyperlink" Target="https://www.dropbox.com/scl/fo/0bul86dbt7spk0fga79v2/APst1CsNLCm_Ca23ubzMQM8?rlkey=081yniipjux6fkbzqkwljepgt&amp;st=baea7ioh&amp;dl=0" TargetMode="External"/><Relationship Id="rId290" Type="http://schemas.openxmlformats.org/officeDocument/2006/relationships/hyperlink" Target="https://www.dropbox.com/scl/fo/u6jducu2te4u3oltt4b3m/AHhQ7e13D76L1UXp6e1UGjk?rlkey=os93j41eeeoy6a3urel5gdqpv&amp;dl=0" TargetMode="External"/><Relationship Id="rId165" Type="http://schemas.openxmlformats.org/officeDocument/2006/relationships/hyperlink" Target="https://www.dropbox.com/scl/fo/kvtbs4srlu3e4tcfjj5xf/AIComTAxMlqWCQRsVo0brQg?rlkey=hrg2jtghu2c82x68aapf59sz2&amp;dl=0" TargetMode="External"/><Relationship Id="rId286" Type="http://schemas.openxmlformats.org/officeDocument/2006/relationships/hyperlink" Target="https://www.dropbox.com/scl/fo/xygrvy4cepbara1v9ex8d/AE1Zc0YYV6Co7mX9m40iOmI?rlkey=xpb5bsks4e11oqksb9gomzdxo&amp;st=c1jxg588&amp;dl=0" TargetMode="External"/><Relationship Id="rId164" Type="http://schemas.openxmlformats.org/officeDocument/2006/relationships/hyperlink" Target="https://www.dropbox.com/scl/fi/az9ii5m7frty6q3gcllf3/HUJAN09001.mp4?rlkey=zk27mowgxfehuowe750uijx31&amp;st=bkalc92w&amp;dl=0" TargetMode="External"/><Relationship Id="rId285" Type="http://schemas.openxmlformats.org/officeDocument/2006/relationships/hyperlink" Target="https://www.dropbox.com/scl/fi/lir0kyo9cqvqnj0plf8y7/TAFEB02009Rev.mp4?rlkey=mhzk6mt58nda26hb6c65r1a70&amp;st=pfqtqcwr&amp;dl=0" TargetMode="External"/><Relationship Id="rId163" Type="http://schemas.openxmlformats.org/officeDocument/2006/relationships/hyperlink" Target="https://www.dropbox.com/scl/fo/ilz89pj4s9l5npgrum01k/AD80VC3GqPDYoBr11WAQtZs?rlkey=9esuc7ges93f1ith68wxu43xg&amp;dl=0" TargetMode="External"/><Relationship Id="rId284" Type="http://schemas.openxmlformats.org/officeDocument/2006/relationships/hyperlink" Target="https://www.dropbox.com/scl/fo/lkh3s01seeowr3f7dlcg8/AE24UoPiP_m303n_fs2LurQ?rlkey=lavdqm9a93ye9ujya1oate9ua&amp;dl=0" TargetMode="External"/><Relationship Id="rId162" Type="http://schemas.openxmlformats.org/officeDocument/2006/relationships/hyperlink" Target="https://www.dropbox.com/scl/fi/eyc59hl7zep05hvegdg9q/HTJAN09012.mp4?rlkey=srce66epci5rrk202gb1nco8i&amp;st=gp0npuq5&amp;dl=0" TargetMode="External"/><Relationship Id="rId283" Type="http://schemas.openxmlformats.org/officeDocument/2006/relationships/hyperlink" Target="https://www.dropbox.com/scl/fo/9a6e8xegl1nu33tx0f2ea/AEU9JfFFh_VN74jmfc8LMeM?rlkey=e3yuxgiv6wc5tbf9r02mb0tdh&amp;st=sch9y8qd&amp;dl=0" TargetMode="External"/><Relationship Id="rId169" Type="http://schemas.openxmlformats.org/officeDocument/2006/relationships/hyperlink" Target="https://www.dropbox.com/scl/fo/kn9ufrngtqeov48dytk0m/ANfX8_EGaQ6a7bKzgkezI50?rlkey=cnak85v7lafnw23oo31do79ep&amp;dl=0" TargetMode="External"/><Relationship Id="rId168" Type="http://schemas.openxmlformats.org/officeDocument/2006/relationships/hyperlink" Target="https://www.dropbox.com/scl/fo/mdi8l0s0wbxcxtewjf4yv/AM4pNsqhK_OgJEgy80yI_4c?rlkey=pm0gj72mgtwtwi6j6pu6ep79b&amp;st=uwyx85gg&amp;dl=0" TargetMode="External"/><Relationship Id="rId289" Type="http://schemas.openxmlformats.org/officeDocument/2006/relationships/hyperlink" Target="https://www.dropbox.com/scl/fo/9uhels1utrqeszvmlz8sm/AC2o787SPNQAN3IJR3XnMU4?rlkey=4e31gnlosdthttww5x8q8z8zi&amp;st=rmthtkd7&amp;dl=0" TargetMode="External"/><Relationship Id="rId167" Type="http://schemas.openxmlformats.org/officeDocument/2006/relationships/hyperlink" Target="https://www.dropbox.com/scl/fo/vxwf1877e2bssri1c4omi/AA-pohxGgl18hfZ2EFGm-Gs?rlkey=2drzretouur3w2zifqeh1ble2&amp;dl=0" TargetMode="External"/><Relationship Id="rId288" Type="http://schemas.openxmlformats.org/officeDocument/2006/relationships/hyperlink" Target="https://www.dropbox.com/scl/fo/y1xlprr6shk3sbd88d5sj/ADSMc2XtUkBiIbSBOeVIDYw?rlkey=l8g0ctxmx6f9yagpm9j7r94vv&amp;dl=0" TargetMode="External"/><Relationship Id="rId166" Type="http://schemas.openxmlformats.org/officeDocument/2006/relationships/hyperlink" Target="https://www.dropbox.com/scl/fi/bttjj9f0wavf89jmazpib/HTDEC20001.mp4?rlkey=boyroj6qlpczdqgu0aas0tpsf&amp;st=a4uttvg2&amp;dl=0" TargetMode="External"/><Relationship Id="rId287" Type="http://schemas.openxmlformats.org/officeDocument/2006/relationships/hyperlink" Target="https://www.dropbox.com/scl/fi/0ee7xhknmj1x0pjqaj4ii/LIFEB03014.mp4?rlkey=o884kzgjekfrhn6d7ss760z0r&amp;st=vmj0ck46&amp;dl=0" TargetMode="External"/><Relationship Id="rId161" Type="http://schemas.openxmlformats.org/officeDocument/2006/relationships/hyperlink" Target="https://www.dropbox.com/scl/fo/9p8vmbitw3ims73b2wpt1/ANziS_Bzm-4unXSxEUplNEs?rlkey=qmg9zh673rwd9rglyp8r8fr1y&amp;dl=0" TargetMode="External"/><Relationship Id="rId282" Type="http://schemas.openxmlformats.org/officeDocument/2006/relationships/hyperlink" Target="https://www.dropbox.com/scl/fo/oasp0lr80jtxx5wloftih/AHQ05BEg6w2qvjfUGzgY7bA?rlkey=ezh90bho7sbp8b9m49lop4m97&amp;dl=0" TargetMode="External"/><Relationship Id="rId160" Type="http://schemas.openxmlformats.org/officeDocument/2006/relationships/hyperlink" Target="https://www.dropbox.com/scl/fi/zih2oizrikqp4md14wjt8/QUJAN09001.mp4?rlkey=br4v2soy05iqqw7utp9zzqmmw&amp;st=copcdy4t&amp;dl=0" TargetMode="External"/><Relationship Id="rId281" Type="http://schemas.openxmlformats.org/officeDocument/2006/relationships/hyperlink" Target="https://gemini.google.com/share/deb9623586e3" TargetMode="External"/><Relationship Id="rId280" Type="http://schemas.openxmlformats.org/officeDocument/2006/relationships/hyperlink" Target="https://www.dropbox.com/scl/fi/5to3wdg4qme0ffwvqiy76/TLFEB03005.mp4?rlkey=ggfiun5qe3b298g4tihw0iqio&amp;st=d4atuzkb&amp;dl=0" TargetMode="External"/><Relationship Id="rId159" Type="http://schemas.openxmlformats.org/officeDocument/2006/relationships/hyperlink" Target="https://www.dropbox.com/scl/fo/0u7xoidpc9xqduwcp69vr/AGQYBkwYcfkvGhlIiE85Y-E?rlkey=e39njygfi7acvz2nscet90ar0&amp;dl=0" TargetMode="External"/><Relationship Id="rId154" Type="http://schemas.openxmlformats.org/officeDocument/2006/relationships/hyperlink" Target="https://www.dropbox.com/scl/fo/6dg8oyfu35vvp41ug7b05/AOqQpKAgDAAePZLWQQIpBxA?rlkey=6puafpmsaswqjicw0pcvuh2qq&amp;st=z44ehgg8&amp;dl=0" TargetMode="External"/><Relationship Id="rId275" Type="http://schemas.openxmlformats.org/officeDocument/2006/relationships/hyperlink" Target="https://www.dropbox.com/scl/fo/worivxz5yvwodj50spoc0/ABoDvum2F5xFX9aVoaMqUjw?rlkey=pqj05gf9ndfnwfr1z3xlpnooz&amp;st=v249pe3o&amp;dl=0" TargetMode="External"/><Relationship Id="rId396" Type="http://schemas.openxmlformats.org/officeDocument/2006/relationships/hyperlink" Target="https://www.dropbox.com/scl/fo/fkv2zaphkwn3punwrd6df/AJOAzi6r7ejHgaVRfjnSdlA?rlkey=ig6cyklfhivzfrsc3zjlrueh7&amp;st=0hu3nzqk&amp;dl=0" TargetMode="External"/><Relationship Id="rId153" Type="http://schemas.openxmlformats.org/officeDocument/2006/relationships/hyperlink" Target="https://www.dropbox.com/scl/fo/0utcdu58fmrkhksri3ydo/AIbgzBm7wsrg59BdvqT_xAY?rlkey=x5c4mduafn9yeghh1inxt5j1r&amp;st=4j0yt86k&amp;dl=0" TargetMode="External"/><Relationship Id="rId274" Type="http://schemas.openxmlformats.org/officeDocument/2006/relationships/hyperlink" Target="https://www.dropbox.com/scl/fo/llhio46qnx1n9c11vlfjg/AIuZMUq2QFd9zNHOw6x18fo?rlkey=bfy250vc9qp3968xwz0853xqm&amp;st=5ccju6zf&amp;dl=0" TargetMode="External"/><Relationship Id="rId395" Type="http://schemas.openxmlformats.org/officeDocument/2006/relationships/hyperlink" Target="https://gemini.google.com/share/1edf30e6fafa" TargetMode="External"/><Relationship Id="rId152" Type="http://schemas.openxmlformats.org/officeDocument/2006/relationships/hyperlink" Target="https://www.dropbox.com/scl/fo/wcwwkbexoix5y961s6nhv/AG26CPct_TSzO9Y4L_gXDko?rlkey=e3e2xl75k5bo306qwpq279tmj&amp;st=37cjl81g&amp;dl=0" TargetMode="External"/><Relationship Id="rId273" Type="http://schemas.openxmlformats.org/officeDocument/2006/relationships/hyperlink" Target="https://www.dropbox.com/scl/fi/b52nu6x7qo67y5q21i093/THJAN31025.mp4?rlkey=m86l9k872mx8go3pv5uldyc1a&amp;st=nkh88umn&amp;dl=0" TargetMode="External"/><Relationship Id="rId394" Type="http://schemas.openxmlformats.org/officeDocument/2006/relationships/hyperlink" Target="https://www.dropbox.com/scl/fi/rnrgqjepd38xd5hbuziu9/MHJAN19002.mp4?rlkey=ucjcp5f4s3qop8k9h3cbxkpy5&amp;st=ajd14lp2&amp;dl=0" TargetMode="External"/><Relationship Id="rId151" Type="http://schemas.openxmlformats.org/officeDocument/2006/relationships/hyperlink" Target="https://www.dropbox.com/scl/fo/6hn4r15u6l4v2cyjct29x/ABHIBKca8VW94dUFgfpINzc?rlkey=xrfj686pgzt7fw87trz99cf2w&amp;dl=0" TargetMode="External"/><Relationship Id="rId272" Type="http://schemas.openxmlformats.org/officeDocument/2006/relationships/hyperlink" Target="https://www.dropbox.com/scl/fo/xh2809gr3q0kgl2z0ajrf/AFqYVQbvySKaauCBkS5_Hhs?rlkey=ikawvcnitdmj2fmp709j3ftmf&amp;dl=0" TargetMode="External"/><Relationship Id="rId393" Type="http://schemas.openxmlformats.org/officeDocument/2006/relationships/hyperlink" Target="https://www.dropbox.com/scl/fo/7g5bciuusc0jn1cby84ob/AOfxCYcFvoqZLJVwoE4oKFc?rlkey=wzyy8td7m97a8g4csm8opdr23&amp;dl=0" TargetMode="External"/><Relationship Id="rId158" Type="http://schemas.openxmlformats.org/officeDocument/2006/relationships/hyperlink" Target="https://www.dropbox.com/scl/fi/9vhr7gjtgdsoigj4zd43n/MHJAN08006.mp4?rlkey=rus8iztdrnjnykktpm0evftkj&amp;st=n24fyvfy&amp;dl=0" TargetMode="External"/><Relationship Id="rId279" Type="http://schemas.openxmlformats.org/officeDocument/2006/relationships/hyperlink" Target="https://www.dropbox.com/scl/fo/p1t46isizoddcsssxd7qj/AG9f1hbOk0mxJyTG6Va4pqo?rlkey=x60owoihtu50gs9co2o1ztjlf&amp;st=jnc0r9m9&amp;dl=0" TargetMode="External"/><Relationship Id="rId157" Type="http://schemas.openxmlformats.org/officeDocument/2006/relationships/hyperlink" Target="https://www.dropbox.com/scl/fo/a3ia3n9ys6924qpil2ild/AOnd3FmXk-gu7JCoGVFsCHY?rlkey=0t5ueyi0lcn887u3a3jhoxvx7&amp;st=utw2sglu&amp;dl=0" TargetMode="External"/><Relationship Id="rId278" Type="http://schemas.openxmlformats.org/officeDocument/2006/relationships/hyperlink" Target="https://www.dropbox.com/scl/fo/mzvy6vshomypyb34b2j6j/APxBCOIjuumteK4A-a1pRgw?rlkey=vfdxoyetszn7pnloqqi1w9bc2&amp;st=4owh5me2&amp;dl=0" TargetMode="External"/><Relationship Id="rId399" Type="http://schemas.openxmlformats.org/officeDocument/2006/relationships/hyperlink" Target="https://www.dropbox.com/scl/fo/ns9cfhvbu63ni23rclxs7/AD9X_xsWiFXVEg3jh3sm_zI?rlkey=jqsa1znopa2yrkqaiwu8kigy5&amp;st=kg2qohsm&amp;dl=0" TargetMode="External"/><Relationship Id="rId156" Type="http://schemas.openxmlformats.org/officeDocument/2006/relationships/hyperlink" Target="https://www.dropbox.com/scl/fi/6oeyqx73iy9xr3tf7vyio/HUJAN08002.mp4?rlkey=ln6ycptzfc73sxhtokhf9x2vt&amp;st=3urw88kh&amp;dl=0" TargetMode="External"/><Relationship Id="rId277" Type="http://schemas.openxmlformats.org/officeDocument/2006/relationships/hyperlink" Target="https://www.dropbox.com/scl/fo/lkh3s01seeowr3f7dlcg8/AE24UoPiP_m303n_fs2LurQ?rlkey=lavdqm9a93ye9ujya1oate9ua&amp;dl=0" TargetMode="External"/><Relationship Id="rId398" Type="http://schemas.openxmlformats.org/officeDocument/2006/relationships/hyperlink" Target="https://www.dropbox.com/scl/fo/6vg4vq1refe0dissh50ow/ACrgpHI7FlMDmgxyFtM3xJ4?rlkey=atmy60d1jrnnr9dzh9jfv34kh&amp;dl=0" TargetMode="External"/><Relationship Id="rId155" Type="http://schemas.openxmlformats.org/officeDocument/2006/relationships/hyperlink" Target="https://www.dropbox.com/scl/fo/8drv7zftnb4f19seilajr/AJtClf1nLulnOJNGw2D1JWE?rlkey=kg59ieamztw6ht9w50x3im8rk&amp;dl=0" TargetMode="External"/><Relationship Id="rId276" Type="http://schemas.openxmlformats.org/officeDocument/2006/relationships/hyperlink" Target="https://gemini.google.com/share/139471f14f4f" TargetMode="External"/><Relationship Id="rId397" Type="http://schemas.openxmlformats.org/officeDocument/2006/relationships/hyperlink" Target="https://www.dropbox.com/scl/fo/j3l7inihnhm7946vdg5qr/AOb2qHBlWotulGkOcN2WyHU?rlkey=ic15cq1agbgrqqx2drp8efiw0&amp;st=aw0rda7b&amp;dl=0" TargetMode="External"/><Relationship Id="rId40" Type="http://schemas.openxmlformats.org/officeDocument/2006/relationships/hyperlink" Target="https://gemini.google.com/share/942410a38b4d" TargetMode="External"/><Relationship Id="rId42" Type="http://schemas.openxmlformats.org/officeDocument/2006/relationships/hyperlink" Target="https://www.dropbox.com/scl/fi/c76e49u2kzixp5tj8fss9/MNJAN04002rev2-1.mp4?rlkey=i3jxjbyf3dn5sf0gmybfjzedv&amp;st=izxjroqj&amp;dl=0" TargetMode="External"/><Relationship Id="rId41" Type="http://schemas.openxmlformats.org/officeDocument/2006/relationships/hyperlink" Target="https://www.dropbox.com/scl/fi/foyl32a4p3mok7o0ckif0/Barrett-Pointe-The-Vision-Realized-2.jpg?rlkey=tuazc2wmj2hjqfucsnh4k130a&amp;dl=0" TargetMode="External"/><Relationship Id="rId44" Type="http://schemas.openxmlformats.org/officeDocument/2006/relationships/hyperlink" Target="https://www.dropbox.com/scl/fo/l6sfcf5ktg89tgavtzeih/ABgTfBfWrwp3RXqIsN8LvqA?rlkey=lprvgh4u2prg2k5g8oqw0u855&amp;st=0a9qjofw&amp;dl=0" TargetMode="External"/><Relationship Id="rId43" Type="http://schemas.openxmlformats.org/officeDocument/2006/relationships/hyperlink" Target="https://gemini.google.com/share/7cb4e06e538f" TargetMode="External"/><Relationship Id="rId46" Type="http://schemas.openxmlformats.org/officeDocument/2006/relationships/hyperlink" Target="https://www.dropbox.com/scl/fi/jeeaoodxtlk28wfa2tbd0/Reaves-Media.png?rlkey=72xpf63uwmfm2z5850blaad5k&amp;dl=0" TargetMode="External"/><Relationship Id="rId45" Type="http://schemas.openxmlformats.org/officeDocument/2006/relationships/hyperlink" Target="https://www.dropbox.com/scl/fi/bw6vn36e3hxm7h43sjcse/MNJAN04002rev3.mp4?rlkey=j326omhgdl2w4xl8c59r0mj3k&amp;st=g09pus4h&amp;dl=0" TargetMode="External"/><Relationship Id="rId48" Type="http://schemas.openxmlformats.org/officeDocument/2006/relationships/hyperlink" Target="https://gemini.google.com/share/394b1bd07bb2" TargetMode="External"/><Relationship Id="rId47" Type="http://schemas.openxmlformats.org/officeDocument/2006/relationships/hyperlink" Target="https://www.dropbox.com/scl/fi/sewdqm46wbqxrwyjbqtg2/QUJAN06002.mp4?rlkey=j3yf6l6bipit5b7xtuq7xj8af&amp;st=d7iw98su&amp;dl=0" TargetMode="External"/><Relationship Id="rId49" Type="http://schemas.openxmlformats.org/officeDocument/2006/relationships/hyperlink" Target="https://www.dropbox.com/scl/fo/24hye387j4gjf06b75x2t/AOOk_mTO9zCHbLRsZwF9xvc?rlkey=o0hk0wugr6d7cjzal8aalatyz&amp;dl=0" TargetMode="External"/><Relationship Id="rId31" Type="http://schemas.openxmlformats.org/officeDocument/2006/relationships/hyperlink" Target="https://www.dropbox.com/scl/fo/w40jrm5xoqdvre29ivzfs/AA2q_oYfm4-RhzULDVofsCY?rlkey=66jn8vi6upjvheem115rk0y8z&amp;dl=0" TargetMode="External"/><Relationship Id="rId30" Type="http://schemas.openxmlformats.org/officeDocument/2006/relationships/hyperlink" Target="https://www.dropbox.com/scl/fo/jxf5b895ohiwarkkjhuj9/AElityt1aojQ_w3YZev8CjU?rlkey=z1hek8wm6buocolriqdex0tdr&amp;st=x9e0kapu&amp;dl=0" TargetMode="External"/><Relationship Id="rId33" Type="http://schemas.openxmlformats.org/officeDocument/2006/relationships/hyperlink" Target="https://www.dropbox.com/scl/fo/ndzh3kqcbmxycmd0prhze/AAxRSH2yEhcQ4pWZNVzT94Q?rlkey=cdmedd1xynhttcjvdcm7cpkct&amp;dl=0" TargetMode="External"/><Relationship Id="rId32" Type="http://schemas.openxmlformats.org/officeDocument/2006/relationships/hyperlink" Target="https://www.dropbox.com/scl/fo/tpfeyc2ji0dxkd2oyok6l/AL3y9ArV12kKs-iWOw6ik0g?rlkey=ljy0iuu3ngrwhl9y7oadcgfdz&amp;st=m3dt9lc1&amp;dl=0" TargetMode="External"/><Relationship Id="rId35" Type="http://schemas.openxmlformats.org/officeDocument/2006/relationships/hyperlink" Target="https://www.dropbox.com/scl/fo/fwmvn6z24eecuc01hoic0/AA8Pj_l78KES06o8F5gsEAc?rlkey=bzuj5c60jci6k5q4vm523rco0&amp;dl=0" TargetMode="External"/><Relationship Id="rId34" Type="http://schemas.openxmlformats.org/officeDocument/2006/relationships/hyperlink" Target="https://www.dropbox.com/scl/fo/bbstlml6tj7bctyscbuz8/AOUMYkIYlQJzhciN-gRZAo8?rlkey=6yvm6vru5sfpv0bfubnr2qi8j&amp;st=y09lk2ud&amp;dl=0" TargetMode="External"/><Relationship Id="rId37" Type="http://schemas.openxmlformats.org/officeDocument/2006/relationships/hyperlink" Target="https://gemini.google.com/share/3a189b4ec701" TargetMode="External"/><Relationship Id="rId36" Type="http://schemas.openxmlformats.org/officeDocument/2006/relationships/hyperlink" Target="https://www.dropbox.com/scl/fi/fqqk3wc5p349irybdqq1v/MNJAN04002.mp4?rlkey=p0jrapmd35imymyrhg3fih5z6&amp;st=4vgvmev4&amp;dl=0" TargetMode="External"/><Relationship Id="rId39" Type="http://schemas.openxmlformats.org/officeDocument/2006/relationships/hyperlink" Target="https://www.dropbox.com/scl/fi/rly6g5zmv3850r3847ry6/MNJAN04002rev.mp4?rlkey=6mx5mz5isrviwjs71x4qg1d87&amp;st=5zb2yoy0&amp;dl=0" TargetMode="External"/><Relationship Id="rId38" Type="http://schemas.openxmlformats.org/officeDocument/2006/relationships/hyperlink" Target="https://www.dropbox.com/scl/fo/gxcw5f9v9ugnaasxc89q0/ABjzeo8cKng2AC_jChoFN6I?rlkey=u0o0kbxiu462ny46bsjtosap1&amp;st=xgz4s3cg&amp;dl=0" TargetMode="External"/><Relationship Id="rId20" Type="http://schemas.openxmlformats.org/officeDocument/2006/relationships/hyperlink" Target="https://www.dropbox.com/scl/fi/s6mc6wlk2iy9b2yluomdf/HTDEC11021Rev6.mp4?rlkey=pwhi1mxyr0uh22w8z8l5rn91f&amp;st=tnro2l4m&amp;dl=0" TargetMode="External"/><Relationship Id="rId22" Type="http://schemas.openxmlformats.org/officeDocument/2006/relationships/hyperlink" Target="https://www.dropbox.com/scl/fo/3da9ldv0mtm9o3mp7wu3i/ANhtSH3M-gMRaJOw0Ijs26Y?rlkey=sowr87urf90woxnqo2xcvv6la&amp;st=rjbslg4b&amp;dl=0" TargetMode="External"/><Relationship Id="rId21" Type="http://schemas.openxmlformats.org/officeDocument/2006/relationships/hyperlink" Target="https://www.dropbox.com/scl/fo/snqypdl9cpio5m652ep83/AFI-RZ6m5lNn4YMokkFwfOE?rlkey=1s3s0iz81olxa31r3pu03cnxv&amp;dl=0" TargetMode="External"/><Relationship Id="rId24" Type="http://schemas.openxmlformats.org/officeDocument/2006/relationships/hyperlink" Target="https://www.dropbox.com/scl/fi/9kkqqrcdde34347cnnfpo/CHDEC15004.mp4?rlkey=8jcfbcua23p0fja5wb9g1or3d&amp;st=isgcsgt2&amp;dl=0" TargetMode="External"/><Relationship Id="rId23" Type="http://schemas.openxmlformats.org/officeDocument/2006/relationships/hyperlink" Target="https://www.dropbox.com/scl/fo/ha2m6pgfozefryubo6op8/AOAEducomkBXkyBQVkpj1z4?rlkey=20zilttn41d3toxrixz1yk3hx&amp;dl=0" TargetMode="External"/><Relationship Id="rId409" Type="http://schemas.openxmlformats.org/officeDocument/2006/relationships/hyperlink" Target="https://docs.google.com/document/d/1tYq3SpKsKpliFj21xk7W4tzspXJH0dDZlxD6WkZCeRs/edit?usp=sharing" TargetMode="External"/><Relationship Id="rId404" Type="http://schemas.openxmlformats.org/officeDocument/2006/relationships/hyperlink" Target="https://www.dropbox.com/scl/fo/eorlogvo34b947bybhyvy/ABXo1ryIPW8KZlQNhu1QNEc?rlkey=z6r7x0y0v8l0mby5asj3dn563&amp;dl=0" TargetMode="External"/><Relationship Id="rId403" Type="http://schemas.openxmlformats.org/officeDocument/2006/relationships/hyperlink" Target="https://www.dropbox.com/scl/fo/jbb5z705pf68e19d2oadp/AGypWFQRifT17TLcQe4nQGk?rlkey=r8p5tw22qkynxr4n0dwdj431x&amp;st=sgrvh6ae&amp;dl=0" TargetMode="External"/><Relationship Id="rId402" Type="http://schemas.openxmlformats.org/officeDocument/2006/relationships/hyperlink" Target="https://www.dropbox.com/scl/fo/hudak8n6oznawkqqgh1h7/AOnSzfELSohDjv_Qhw6l3h0?rlkey=mklm8unfovf4c1iemrkfknuvg&amp;dl=0" TargetMode="External"/><Relationship Id="rId401" Type="http://schemas.openxmlformats.org/officeDocument/2006/relationships/hyperlink" Target="https://www.dropbox.com/scl/fo/zabsagbdlai0pj275439z/APBS-w1JwczBHwN8Ff3rWGg?rlkey=ysj4ggn4admzoizmn5i7c0rwo&amp;st=p30glz4b&amp;dl=0" TargetMode="External"/><Relationship Id="rId408" Type="http://schemas.openxmlformats.org/officeDocument/2006/relationships/hyperlink" Target="https://www.dropbox.com/scl/fo/3fks1fn0yt9s01e2euuc9/AIKrFEvE2jK-Xeqee1JyFt4?rlkey=usz6lsz4y0g2rnibw1gmkfjm6&amp;dl=0" TargetMode="External"/><Relationship Id="rId407" Type="http://schemas.openxmlformats.org/officeDocument/2006/relationships/hyperlink" Target="https://www.dropbox.com/scl/fo/im50fnqt04k7etieelpxz/AHCHZ_nT5zg3Et8ia_eTe3w?rlkey=iblouu9gc0j4q20jvci0qm175&amp;st=xlfrnle7&amp;dl=0" TargetMode="External"/><Relationship Id="rId406" Type="http://schemas.openxmlformats.org/officeDocument/2006/relationships/hyperlink" Target="https://www.dropbox.com/scl/fo/3fks1fn0yt9s01e2euuc9/AIKrFEvE2jK-Xeqee1JyFt4?rlkey=usz6lsz4y0g2rnibw1gmkfjm6&amp;dl=0" TargetMode="External"/><Relationship Id="rId405" Type="http://schemas.openxmlformats.org/officeDocument/2006/relationships/hyperlink" Target="https://www.dropbox.com/scl/fo/xhp2frbg4pa9hikegm6yk/AANRww_eZWcaqKloBs2J3hY?rlkey=ns08oo4yajan6sz1h9oh2e2co&amp;st=h0pv3eca&amp;dl=0" TargetMode="External"/><Relationship Id="rId26" Type="http://schemas.openxmlformats.org/officeDocument/2006/relationships/hyperlink" Target="https://www.dropbox.com/scl/fo/2b8qwfc5lyrxyw95mbhb6/APZ-fQwdPLJSDEx6DxGMDV4?rlkey=m1s6swysyhedcwlernnk0x27u&amp;st=cqbmww5c&amp;dl=0" TargetMode="External"/><Relationship Id="rId25" Type="http://schemas.openxmlformats.org/officeDocument/2006/relationships/hyperlink" Target="https://www.dropbox.com/scl/fo/112tmcyc8pxwx3sx22g0k/AN3g8sJZgXCxWUOSCuzbLiY?rlkey=w6ji7dfziu9mytg11760n64bi&amp;dl=0" TargetMode="External"/><Relationship Id="rId28" Type="http://schemas.openxmlformats.org/officeDocument/2006/relationships/hyperlink" Target="https://www.dropbox.com/scl/fo/7et97r3xjacp7mzvsq04v/AGcCCTT3AADbIZwaYbZZZwg?rlkey=cp9sg676anbub3vgy891mj89d&amp;st=i3yscohh&amp;dl=0" TargetMode="External"/><Relationship Id="rId27" Type="http://schemas.openxmlformats.org/officeDocument/2006/relationships/hyperlink" Target="https://www.dropbox.com/scl/fo/adax79oiq2mt0ctowahh4/AKtDlSUdOPFJgMKii0DMD3I?rlkey=ns38iqiieop0x79i420i2e3xp&amp;dl=0" TargetMode="External"/><Relationship Id="rId400" Type="http://schemas.openxmlformats.org/officeDocument/2006/relationships/hyperlink" Target="https://www.dropbox.com/scl/fo/jrpgy9l47a441qrtb3wh8/AIUEhHrZRYLABVdp2n03U0Y?rlkey=1g4ki18fg0cogrympx38fimw2&amp;dl=0" TargetMode="External"/><Relationship Id="rId29" Type="http://schemas.openxmlformats.org/officeDocument/2006/relationships/hyperlink" Target="https://www.dropbox.com/scl/fo/252zw59g8fidbnt87uyh0/AMSULkEFwRQifZoW7mAeOuA?rlkey=h7vgt0qggwal18q2wrsl1f2q2&amp;dl=0" TargetMode="External"/><Relationship Id="rId11" Type="http://schemas.openxmlformats.org/officeDocument/2006/relationships/hyperlink" Target="https://www.dropbox.com/scl/fo/givq6no6sh6u1ao4p0twp/AKbDMsj-X2_5ZoDctJpD9J4?rlkey=ebcfrahie2htcrn8xt5wdmjrs&amp;dl=0" TargetMode="External"/><Relationship Id="rId10" Type="http://schemas.openxmlformats.org/officeDocument/2006/relationships/hyperlink" Target="https://www.dropbox.com/scl/fi/0hbehpca4ddkhi1fan831/TRDEC05001rev5.mp4?rlkey=8lb9c4va3adfau8ainp8uszz4&amp;st=dcrd6ibn&amp;dl=0" TargetMode="External"/><Relationship Id="rId13" Type="http://schemas.openxmlformats.org/officeDocument/2006/relationships/hyperlink" Target="https://www.dropbox.com/scl/fo/vemwz1iuhut5zqrwpo6bf/AKOHRrWb1DJlB3z0bQb9I7k?rlkey=kuhoi4s90udbqzdwuy8y5leu3&amp;dl=0" TargetMode="External"/><Relationship Id="rId12" Type="http://schemas.openxmlformats.org/officeDocument/2006/relationships/hyperlink" Target="https://www.dropbox.com/scl/fo/1g7xy8w84xpqmh0d0yomt/AGcBqYHQNOTjyuElzM6o5sY?rlkey=015dwre2j4w8ju5v7iftet3gk&amp;st=uxqfcbwp&amp;dl=0" TargetMode="External"/><Relationship Id="rId15" Type="http://schemas.openxmlformats.org/officeDocument/2006/relationships/hyperlink" Target="https://www.dropbox.com/scl/fo/u9cngb2pc0p5ufq8u6i4o/ACGxxI4zzyPhTZ_pnMTeE9Q?rlkey=lu5ugjasp2ig8urdmlhhocdix&amp;dl=0" TargetMode="External"/><Relationship Id="rId14" Type="http://schemas.openxmlformats.org/officeDocument/2006/relationships/hyperlink" Target="https://www.dropbox.com/scl/fo/1g7xy8w84xpqmh0d0yomt/AGcBqYHQNOTjyuElzM6o5sY?rlkey=015dwre2j4w8ju5v7iftet3gk&amp;st=uxqfcbwp&amp;dl=0" TargetMode="External"/><Relationship Id="rId17" Type="http://schemas.openxmlformats.org/officeDocument/2006/relationships/hyperlink" Target="https://www.dropbox.com/scl/fo/rvczj583k8s9tknxck8kg/ADs2nXOlNdf-x9J26ZlHico?rlkey=o2wm0eohnoqu1oqb2tykx7t2n&amp;dl=0" TargetMode="External"/><Relationship Id="rId16" Type="http://schemas.openxmlformats.org/officeDocument/2006/relationships/hyperlink" Target="https://www.dropbox.com/scl/fi/ite18urd6o96s70w2vnt9/CHDEC11006.mp4?rlkey=769vm52p6m19rwfjxj90mupgl&amp;st=4v24k35h&amp;dl=0" TargetMode="External"/><Relationship Id="rId19" Type="http://schemas.openxmlformats.org/officeDocument/2006/relationships/hyperlink" Target="https://www.dropbox.com/scl/fo/drp0sbwfghjam0g6n3e1l/AO0AsVikg3IvUqOvLepsskk?rlkey=u6kily88etazdfq6tfab68798&amp;dl=0" TargetMode="External"/><Relationship Id="rId18" Type="http://schemas.openxmlformats.org/officeDocument/2006/relationships/hyperlink" Target="https://www.dropbox.com/scl/fi/9uustoqsvsodxtwtkyyks/HTDEC15006.mp4?rlkey=p6hnwhc0uovtarha4qdx5nt8c&amp;st=csjcpmax&amp;dl=0" TargetMode="External"/><Relationship Id="rId84" Type="http://schemas.openxmlformats.org/officeDocument/2006/relationships/hyperlink" Target="https://www.dropbox.com/scl/fi/5tf6ae77zcx4hknnq92ml/111.png?rlkey=smcp1mav2aqbadkaad0lvbozq&amp;dl=0" TargetMode="External"/><Relationship Id="rId83" Type="http://schemas.openxmlformats.org/officeDocument/2006/relationships/hyperlink" Target="https://www.dropbox.com/scl/fo/81mqdof6g74y3jef4jqjj/AHGaffjyajFz6UH0m4siGeE?rlkey=ytlpfyssxtewh5dvpw7nu8enq&amp;st=nmv8esto&amp;dl=0" TargetMode="External"/><Relationship Id="rId86" Type="http://schemas.openxmlformats.org/officeDocument/2006/relationships/hyperlink" Target="https://gemini.google.com/share/c667be7873d0" TargetMode="External"/><Relationship Id="rId85" Type="http://schemas.openxmlformats.org/officeDocument/2006/relationships/hyperlink" Target="https://www.dropbox.com/scl/fi/cvelr43k5lyi76wr4ad49/VAFEB04009Rev.mp4?rlkey=2dfa8oez823xbv1sev1qgpru2&amp;st=mqkj04d4&amp;dl=0" TargetMode="External"/><Relationship Id="rId88" Type="http://schemas.openxmlformats.org/officeDocument/2006/relationships/hyperlink" Target="https://www.dropbox.com/scl/fo/5czp3wtvo3wvo2jzy1kh2/AEPuP0ELZXe7np46O1odTKQ?rlkey=dtvr4897yb57yzlbrgwi6bqmo&amp;st=xcg9d8s8&amp;dl=0" TargetMode="External"/><Relationship Id="rId87" Type="http://schemas.openxmlformats.org/officeDocument/2006/relationships/hyperlink" Target="https://www.dropbox.com/scl/fo/xwunr8e0qtsioeaw7ph4t/ANORYaVT7nM-ThbYa7jzKYU?rlkey=27n9h2te160nboa189ar8zcht&amp;st=w1t1ttgt&amp;dl=0" TargetMode="External"/><Relationship Id="rId89" Type="http://schemas.openxmlformats.org/officeDocument/2006/relationships/hyperlink" Target="https://gemini.google.com/app/9550d9a02ad00994" TargetMode="External"/><Relationship Id="rId80" Type="http://schemas.openxmlformats.org/officeDocument/2006/relationships/hyperlink" Target="https://www.dropbox.com/scl/fo/b33esyxpr36yioysr93bk/AMGN1OjpzXgtGvALMxL-mFk?rlkey=rxk6vzkpn7azatnr8rrzpdujy&amp;st=yv01rvbz&amp;dl=0" TargetMode="External"/><Relationship Id="rId82" Type="http://schemas.openxmlformats.org/officeDocument/2006/relationships/hyperlink" Target="https://www.dropbox.com/scl/fo/jw6n9t9dem4wu6xrox02t/AM3BFwN6o_UQqxq0eNPVoqo?rlkey=2wxjdno3vjxzk5lwxjz8y3sd0&amp;st=wbdq70en&amp;dl=0" TargetMode="External"/><Relationship Id="rId81" Type="http://schemas.openxmlformats.org/officeDocument/2006/relationships/hyperlink" Target="https://www.dropbox.com/scl/fo/l76lwjmie4121ti8f19uf/ACbQ2raMo115R_-K3FYifyQ?rlkey=q05ia0buna885nf92hnw19hq5&amp;st=2pu968dp&amp;dl=0" TargetMode="External"/><Relationship Id="rId73" Type="http://schemas.openxmlformats.org/officeDocument/2006/relationships/hyperlink" Target="https://www.dropbox.com/scl/fo/8pqw51d4m9xzh04hvfes6/AMjcv0GHqDKtyZhbiOX-htc?rlkey=21f5etw41pwvwkezv77m4pfl7&amp;st=l0je26ea&amp;dl=0" TargetMode="External"/><Relationship Id="rId72" Type="http://schemas.openxmlformats.org/officeDocument/2006/relationships/hyperlink" Target="https://www.dropbox.com/scl/fo/3raulc7hlos0lqdf6buzn/AL2hYWgPILp7pv2ZTpHKTkk?rlkey=3vy2pebbpb8scb725mw207yfd&amp;st=8l5l5nme&amp;dl=0" TargetMode="External"/><Relationship Id="rId75" Type="http://schemas.openxmlformats.org/officeDocument/2006/relationships/hyperlink" Target="https://www.dropbox.com/scl/fo/bvqfxs3ys2lmhikfkei4h/AFH_wP5-DpxXVK9CzcqOniA?rlkey=l1lfjxilzsajbwkzk3bxofl82&amp;st=64h7ed5i&amp;dl=0" TargetMode="External"/><Relationship Id="rId74" Type="http://schemas.openxmlformats.org/officeDocument/2006/relationships/hyperlink" Target="https://www.dropbox.com/scl/fo/8bdnzvh2a52m76hly9yef/AGut6PITK1NyhOlY3gwCiTA?rlkey=jfzjv8jspuycik71127pc2ipl&amp;dl=0" TargetMode="External"/><Relationship Id="rId77" Type="http://schemas.openxmlformats.org/officeDocument/2006/relationships/hyperlink" Target="https://www.dropbox.com/scl/fi/tk12yhgt7rz845dh74n81/VUJAN29013Rev.mp4?rlkey=7tky2okb24ob88ozhnxk36g6d&amp;st=uk6kopse&amp;dl=0" TargetMode="External"/><Relationship Id="rId76" Type="http://schemas.openxmlformats.org/officeDocument/2006/relationships/hyperlink" Target="https://www.dropbox.com/scl/fo/l51ngwtlkxlh71yukgkzy/AMgYOclpzl_e-u2rNODeOwc?rlkey=9eztb4t57nq9kyncfjvdk9egn&amp;dl=0" TargetMode="External"/><Relationship Id="rId79" Type="http://schemas.openxmlformats.org/officeDocument/2006/relationships/hyperlink" Target="https://www.dropbox.com/scl/fo/lhzinsi4z4fpbc5mb24jk/AH11DkWpSA_Ir1x5u42Fa7M?rlkey=qy44ebrzuovwwzxjrua5aqgp1&amp;st=ecit5anf&amp;dl=0" TargetMode="External"/><Relationship Id="rId78" Type="http://schemas.openxmlformats.org/officeDocument/2006/relationships/hyperlink" Target="https://www.dropbox.com/scl/fo/igsl1de7668h7k7jh4tzv/ANwR148Qxi0WXrgBp3Me8tg?rlkey=wzgg4wudr9p6ldtdcq69e3dc3&amp;dl=0" TargetMode="External"/><Relationship Id="rId71" Type="http://schemas.openxmlformats.org/officeDocument/2006/relationships/hyperlink" Target="https://www.dropbox.com/scl/fo/8h1sikov5kkx2f6gvypn5/AK_4xg0O4VgfigETD12enmU?rlkey=tyx3b20l64jp4o1mzibc7zyux&amp;st=dgiyp9z5&amp;dl=0" TargetMode="External"/><Relationship Id="rId70" Type="http://schemas.openxmlformats.org/officeDocument/2006/relationships/hyperlink" Target="https://www.dropbox.com/scl/fo/05p3744xkqht61edgpweo/AFzbbukACWlbvpisQHZZBSM?rlkey=nwarpnww4wrykgm64x5s7g0sq&amp;dl=0" TargetMode="External"/><Relationship Id="rId62" Type="http://schemas.openxmlformats.org/officeDocument/2006/relationships/hyperlink" Target="https://www.dropbox.com/scl/fo/jl6u9amlkz76dtohcwaj6/AEVDKLJszaC5JUXBokr6ckU?rlkey=cgn5yb7ut9nqk9qa83mujaivj&amp;dl=0" TargetMode="External"/><Relationship Id="rId61" Type="http://schemas.openxmlformats.org/officeDocument/2006/relationships/hyperlink" Target="https://www.dropbox.com/scl/fi/3mntde7sqg36u1tacyg2u/QUJAN23002.mp4?rlkey=evg05i23duiwbfl40zz5zri20&amp;st=njin1zwp&amp;dl=0" TargetMode="External"/><Relationship Id="rId64" Type="http://schemas.openxmlformats.org/officeDocument/2006/relationships/hyperlink" Target="https://gemini.google.com/share/bedf28c84f97" TargetMode="External"/><Relationship Id="rId63" Type="http://schemas.openxmlformats.org/officeDocument/2006/relationships/hyperlink" Target="https://www.dropbox.com/scl/fi/v0u2prki7t1ynvspwoait/NGJAN23007Rev3.mp4?rlkey=n4ef9vfbln04oobw1hn0vp09f&amp;st=kmka5kk5&amp;dl=0" TargetMode="External"/><Relationship Id="rId66" Type="http://schemas.openxmlformats.org/officeDocument/2006/relationships/hyperlink" Target="https://www.dropbox.com/scl/fi/re978837z2lzi1nksbi29/NGJAN23007Rev5.mp4?rlkey=3yoxup4do1ied3l7ywwkk52eu&amp;st=208edhu4&amp;dl=0" TargetMode="External"/><Relationship Id="rId65" Type="http://schemas.openxmlformats.org/officeDocument/2006/relationships/hyperlink" Target="https://www.dropbox.com/scl/fo/t0vp6qyjxagcu07enury3/ALG8vrkYRpSMdr7t_ZzVVlw?rlkey=z7o8htgclsul0ne80gvkiwte4&amp;st=jolbxin4&amp;dl=0" TargetMode="External"/><Relationship Id="rId68" Type="http://schemas.openxmlformats.org/officeDocument/2006/relationships/hyperlink" Target="https://www.dropbox.com/scl/fo/jeirz26e6o2sk2s9mi83q/AIco7_Yc0TB_VvkPyb196iE?rlkey=c73u8wwx7rohc5ewfrpbnvyga&amp;dl=0" TargetMode="External"/><Relationship Id="rId67" Type="http://schemas.openxmlformats.org/officeDocument/2006/relationships/hyperlink" Target="https://gemini.google.com/share/137cae69ed0e" TargetMode="External"/><Relationship Id="rId60" Type="http://schemas.openxmlformats.org/officeDocument/2006/relationships/hyperlink" Target="https://www.dropbox.com/scl/fo/6yn2lhculbhfbiq4fcmip/AK-7eLfYv2Fw8nypNtfz3_4?rlkey=b2njo6tiy8us522tl27w7d446&amp;dl=0" TargetMode="External"/><Relationship Id="rId69" Type="http://schemas.openxmlformats.org/officeDocument/2006/relationships/hyperlink" Target="https://www.dropbox.com/scl/fo/yiq5kgff8ojjo3x6rw30e/AApvZb30yu5Rtkim9lAHQPE?rlkey=jxrrcszogeezo76bggq446k0n&amp;st=n0niq0u0&amp;dl=0" TargetMode="External"/><Relationship Id="rId51" Type="http://schemas.openxmlformats.org/officeDocument/2006/relationships/hyperlink" Target="https://gemini.google.com/share/59b49a6c00a5" TargetMode="External"/><Relationship Id="rId50" Type="http://schemas.openxmlformats.org/officeDocument/2006/relationships/hyperlink" Target="https://www.dropbox.com/scl/fi/dmf7rgou0qud3cw26aq9g/MIDEC20005Rev2.mp4?rlkey=av4kiyuz9ael648y5o0t3kdnt&amp;st=8hdjdmu4&amp;dl=0" TargetMode="External"/><Relationship Id="rId53" Type="http://schemas.openxmlformats.org/officeDocument/2006/relationships/hyperlink" Target="https://www.dropbox.com/scl/fo/bu30hzvdpksxtzx2d05cc/AAvyIm-ynZz1lwxIR-JNoP4?rlkey=a6yo1ks1rjuhszt6ioqabnasj&amp;st=ovduqecw&amp;dl=0" TargetMode="External"/><Relationship Id="rId52" Type="http://schemas.openxmlformats.org/officeDocument/2006/relationships/hyperlink" Target="https://www.dropbox.com/scl/fo/qst66uquqf8ptmgiyghtj/AAa7eYF7Sbkd_UjfBqj5UDk?rlkey=i66wwe90yt2bxcr4a03dsq6mr&amp;dl=0" TargetMode="External"/><Relationship Id="rId55" Type="http://schemas.openxmlformats.org/officeDocument/2006/relationships/hyperlink" Target="https://www.dropbox.com/scl/fi/reakdf0iewtrklehde2p3/MIDEC20005Rev3.mp4?rlkey=i563dessn2tydbn0hw4qmwwbx&amp;st=nc9xlrk4&amp;dl=0" TargetMode="External"/><Relationship Id="rId54" Type="http://schemas.openxmlformats.org/officeDocument/2006/relationships/hyperlink" Target="https://www.dropbox.com/scl/fo/y1xlprr6shk3sbd88d5sj/ADSMc2XtUkBiIbSBOeVIDYw?rlkey=8i2or9rrbl3qzf815q8q2vt05&amp;st=o2dr844y&amp;dl=0yy1nmf45/drones-video-rev3.png?rlkey=3naa2p97a7kvmj6hru18m2hdb&amp;dl=0" TargetMode="External"/><Relationship Id="rId57" Type="http://schemas.openxmlformats.org/officeDocument/2006/relationships/hyperlink" Target="https://www.dropbox.com/scl/fi/f06g8wqxp50ep9w1532om/NHJAN13014.mp4?rlkey=724ax9mkms3thy541sxavq6qc&amp;st=ja7aey8t&amp;dl=0" TargetMode="External"/><Relationship Id="rId56" Type="http://schemas.openxmlformats.org/officeDocument/2006/relationships/hyperlink" Target="https://www.dropbox.com/scl/fo/7g2288cm0bub3fqfymbua/AO5tt1Hecs5hqgJwndX_ziQ?rlkey=znrx3jpwvt2e7uvkkl8p6ck30&amp;dl=0" TargetMode="External"/><Relationship Id="rId59" Type="http://schemas.openxmlformats.org/officeDocument/2006/relationships/hyperlink" Target="https://www.dropbox.com/scl/fo/y2mvckt1u90tv7bc8kjrd/AOiwXfuKc2eQpuGgoMCGNBU?rlkey=k1qwksbht78ueka4gctnaqpgm&amp;st=0ccecdpt&amp;dl=0" TargetMode="External"/><Relationship Id="rId58" Type="http://schemas.openxmlformats.org/officeDocument/2006/relationships/hyperlink" Target="https://www.dropbox.com/scl/fo/rl0n00bvy9op5i2rc3i7e/ANFnu2Bpe4GLAUknsW4xSuc?rlkey=zyb9yu6skmbla5h5hssaybbyq&amp;dl=0" TargetMode="External"/><Relationship Id="rId107" Type="http://schemas.openxmlformats.org/officeDocument/2006/relationships/hyperlink" Target="https://www.dropbox.com/scl/fo/irce11op1etexud0giaol/AGQfqvxPp6-1cYVNHvDLU1w?rlkey=b112gnfve7e8uw29kjggw9cqo&amp;st=uisk1ccz&amp;dl=0" TargetMode="External"/><Relationship Id="rId228" Type="http://schemas.openxmlformats.org/officeDocument/2006/relationships/hyperlink" Target="https://gemini.google.com/share/cd9f23d9f58e" TargetMode="External"/><Relationship Id="rId349" Type="http://schemas.openxmlformats.org/officeDocument/2006/relationships/hyperlink" Target="https://www.dropbox.com/scl/fo/y1xlprr6shk3sbd88d5sj/ADSMc2XtUkBiIbSBOeVIDYw?rlkey=l8g0ctxmx6f9yagpm9j7r94vv&amp;dl=0" TargetMode="External"/><Relationship Id="rId106" Type="http://schemas.openxmlformats.org/officeDocument/2006/relationships/hyperlink" Target="https://www.dropbox.com/scl/fo/kfxqj3ahnjn5cg2agt3co/AJOpxj19d7n7hrH1nk6TKDM?rlkey=cryi2w059bap4gt9arwkie4da&amp;dl=0" TargetMode="External"/><Relationship Id="rId227" Type="http://schemas.openxmlformats.org/officeDocument/2006/relationships/hyperlink" Target="https://www.dropbox.com/scl/fo/ub7o2yu60yo203hrd5226/AJiNyUbRvOIbPrG1z7__scs?rlkey=qkgygvroh1a37hjkr4wgq077c&amp;st=6wqagf7y&amp;dl=0" TargetMode="External"/><Relationship Id="rId348" Type="http://schemas.openxmlformats.org/officeDocument/2006/relationships/hyperlink" Target="https://gemini.google.com/share/24f27b443ba9" TargetMode="External"/><Relationship Id="rId469" Type="http://schemas.openxmlformats.org/officeDocument/2006/relationships/hyperlink" Target="https://www.dropbox.com/scl/fo/24dl8g1xjwadgnqo0itul/AJCZt_GDUSv8hgDc3JOQTMU?rlkey=y5u2vu9cseym1zr56aue254ia&amp;dl=0" TargetMode="External"/><Relationship Id="rId105" Type="http://schemas.openxmlformats.org/officeDocument/2006/relationships/hyperlink" Target="https://www.dropbox.com/scl/fo/nhrkr2lwv3vk7me6phyll/ACpo5XzKh9bubuPCYN1Ldk0?rlkey=077y0j0r2c9g4si5h5rzyndvl&amp;st=ib6s6n18&amp;dl=0" TargetMode="External"/><Relationship Id="rId226" Type="http://schemas.openxmlformats.org/officeDocument/2006/relationships/hyperlink" Target="https://www.dropbox.com/scl/fo/vkx868wi90yu4mw9xr1my/ANvTNHMMdJm9-MZFasxCvEM?rlkey=izub25s33f9ssaifxxnxinw4x&amp;dl=0" TargetMode="External"/><Relationship Id="rId347" Type="http://schemas.openxmlformats.org/officeDocument/2006/relationships/hyperlink" Target="https://www.dropbox.com/scl/fi/1yhzuq49qymt1pc17c5q5/THFEB05042.mp4?rlkey=wikr39ycbyzsk6bt8w6iaz5fv&amp;st=sz4viqwj&amp;dl=0" TargetMode="External"/><Relationship Id="rId468" Type="http://schemas.openxmlformats.org/officeDocument/2006/relationships/hyperlink" Target="https://www.dropbox.com/scl/fi/vf8szoet0bkegxtujt9py/HAJAN27010rev.mp4?rlkey=2bblxo5zpv4qqcm9y2dn07d4z&amp;st=iphforn1&amp;dl=0" TargetMode="External"/><Relationship Id="rId104" Type="http://schemas.openxmlformats.org/officeDocument/2006/relationships/hyperlink" Target="https://www.dropbox.com/scl/fo/gegp7x0gw2fu08x5tyg29/ABGLXzcGyDM2HUfb5YB0-O0?rlkey=192pqpxqbbdzlfd2xy6tjfwbf&amp;st=88o2qozd&amp;dl=0" TargetMode="External"/><Relationship Id="rId225" Type="http://schemas.openxmlformats.org/officeDocument/2006/relationships/hyperlink" Target="https://gemini.google.com/share/3f3804a14458" TargetMode="External"/><Relationship Id="rId346" Type="http://schemas.openxmlformats.org/officeDocument/2006/relationships/hyperlink" Target="https://www.dropbox.com/scl/fo/gsy3c8nznc4sx2c0rmb1v/AEXa04axTFru0l7WH30XZg8?rlkey=9qnerttskmes66tp27jfy1zqd&amp;dl=0" TargetMode="External"/><Relationship Id="rId467" Type="http://schemas.openxmlformats.org/officeDocument/2006/relationships/hyperlink" Target="https://www.dropbox.com/scl/fo/jztx16zt9b6fq9qthomkm/AHFNmlexudlboOgqdmBpIAA?rlkey=kh45msm84g0xezgsl40y5nk7k&amp;dl=0" TargetMode="External"/><Relationship Id="rId109" Type="http://schemas.openxmlformats.org/officeDocument/2006/relationships/hyperlink" Target="https://www.dropbox.com/scl/fi/ormum9o5isj1vzhjtdpuc/QUDEC28002Rev.mp4?rlkey=jxxf2st3j9f1mgo6739ivtr5p&amp;st=g4iph51x&amp;dl=0" TargetMode="External"/><Relationship Id="rId108" Type="http://schemas.openxmlformats.org/officeDocument/2006/relationships/hyperlink" Target="https://www.dropbox.com/scl/fo/p5g0wbp79oihdg75jt97p/ACuG9jsjHrFPFfF61BoYNQ4?rlkey=piabmoer4xxoo70mlwkpk7eth&amp;dl=0" TargetMode="External"/><Relationship Id="rId229" Type="http://schemas.openxmlformats.org/officeDocument/2006/relationships/hyperlink" Target="https://www.dropbox.com/scl/fo/oiz8fky41zi4dd6kt77l7/ACqY1uljz80xkJHHsCmbvF8?rlkey=d8jnhbv34dyjpohzjx9tz1bc1&amp;st=x8ox95hj&amp;dl=0" TargetMode="External"/><Relationship Id="rId220" Type="http://schemas.openxmlformats.org/officeDocument/2006/relationships/hyperlink" Target="https://www.dropbox.com/scl/fi/t9vnldmajbt72btx6gg3c/TRJAN19003rev.mp4?rlkey=aqqa0etvgfhz8meg8t75cnyvp&amp;st=a72elt75&amp;dl=0" TargetMode="External"/><Relationship Id="rId341" Type="http://schemas.openxmlformats.org/officeDocument/2006/relationships/hyperlink" Target="https://www.dropbox.com/scl/fo/ddqur6748zatuzl6s21pg/ADcyk4dkLdzLQ9Z_55PIsvY?rlkey=zncy9t272xx7j3aasbi5wgaaa&amp;dl=0" TargetMode="External"/><Relationship Id="rId462" Type="http://schemas.openxmlformats.org/officeDocument/2006/relationships/hyperlink" Target="https://www.dropbox.com/scl/fi/0odl9rfd74uh2vkeilpl3/THJAN20034Rev.mp4?rlkey=kp71zw8h71pt3ccdqcc1qdk6k&amp;st=fe2fd0mx&amp;dl=0" TargetMode="External"/><Relationship Id="rId340" Type="http://schemas.openxmlformats.org/officeDocument/2006/relationships/hyperlink" Target="https://www.dropbox.com/scl/fi/jixwj883h8esj1t7lkp3n/HTFEB05012.mp4?rlkey=2twsemcc0phk3eq6xwnbzph34&amp;st=ccdhowwm&amp;dl=0" TargetMode="External"/><Relationship Id="rId461" Type="http://schemas.openxmlformats.org/officeDocument/2006/relationships/hyperlink" Target="https://www.dropbox.com/scl/fo/zfp29ydcbia3m4b1jfghv/AFWQjXu0CLhzs5ytzO16-j0?rlkey=j9w3t1ajq0trwjhuybl5fzvxi&amp;dl=0" TargetMode="External"/><Relationship Id="rId460" Type="http://schemas.openxmlformats.org/officeDocument/2006/relationships/hyperlink" Target="https://gemini.google.com/u/2/app/e5fea0f6c1210c23" TargetMode="External"/><Relationship Id="rId103" Type="http://schemas.openxmlformats.org/officeDocument/2006/relationships/hyperlink" Target="https://www.dropbox.com/scl/fo/ruvktnwt479kpfl09h1ml/ABg-8Vucex2XdJvYd5nvoAs?rlkey=n3pd53pysyehaovk2aoex6glx&amp;st=ztl4ulzm&amp;dl=0" TargetMode="External"/><Relationship Id="rId224" Type="http://schemas.openxmlformats.org/officeDocument/2006/relationships/hyperlink" Target="https://www.dropbox.com/scl/fi/uktdwnksx5o5chpcil1ds/NGJAN20005rev.mp4?rlkey=s1z8ptuz2gjgw91fwb99ip3xo&amp;st=cw753b4i&amp;dl=0" TargetMode="External"/><Relationship Id="rId345" Type="http://schemas.openxmlformats.org/officeDocument/2006/relationships/hyperlink" Target="https://www.dropbox.com/scl/fo/82ki92b8xhuz2x7lnl2fk/ALZuoL5ksioTIr5c6ki0U2g?rlkey=6pf0z2s8q4efyuagke9ae07xb&amp;st=fkini4ap&amp;dl=0" TargetMode="External"/><Relationship Id="rId466" Type="http://schemas.openxmlformats.org/officeDocument/2006/relationships/hyperlink" Target="https://www.dropbox.com/scl/fi/dx6cbxl55t4y125rw0akj/NGJAN23007Rev4.mp4?rlkey=9lw7i4g64by4g78jklqnbutp5&amp;st=unmujg43&amp;dl=0" TargetMode="External"/><Relationship Id="rId102" Type="http://schemas.openxmlformats.org/officeDocument/2006/relationships/hyperlink" Target="https://www.dropbox.com/scl/fo/zmoi2d4tla4dm9ynulokh/AJpdgo92QNswI9IXceCyDx8?rlkey=udikl1wak4lw8e77hyt4ctbe0&amp;dl=0" TargetMode="External"/><Relationship Id="rId223" Type="http://schemas.openxmlformats.org/officeDocument/2006/relationships/hyperlink" Target="https://www.dropbox.com/scl/fo/cmwjv9bk66jl9gzuradg9/APDG9G5UF26h_Tb-qJ2XRrI?rlkey=w8p5bo8ivzmcwd7jg94u359ws&amp;st=xa82i6i9&amp;dl=0" TargetMode="External"/><Relationship Id="rId344" Type="http://schemas.openxmlformats.org/officeDocument/2006/relationships/hyperlink" Target="https://www.dropbox.com/scl/fo/ck8ebsqz485y2aiitb1ji/AOjP5x-sC06gw7qUifxm-b8?rlkey=mvt7g6wq2d4ol3txbawbedqq5&amp;dl=0" TargetMode="External"/><Relationship Id="rId465" Type="http://schemas.openxmlformats.org/officeDocument/2006/relationships/hyperlink" Target="https://www.dropbox.com/scl/fo/t0vp6qyjxagcu07enury3/ALG8vrkYRpSMdr7t_ZzVVlw?rlkey=bug58m05r1bxummugf7lqwvft&amp;dl=0" TargetMode="External"/><Relationship Id="rId101" Type="http://schemas.openxmlformats.org/officeDocument/2006/relationships/hyperlink" Target="https://gemini.google.com/share/c822f5b9bab2" TargetMode="External"/><Relationship Id="rId222" Type="http://schemas.openxmlformats.org/officeDocument/2006/relationships/hyperlink" Target="https://www.dropbox.com/scl/fi/m85wvotqe3g9l9xgo65o7/NGJAN20005.mp4?rlkey=hjg045806cjkhts2sfhn3iilp&amp;st=8a6wpnqm&amp;dl=0" TargetMode="External"/><Relationship Id="rId343" Type="http://schemas.openxmlformats.org/officeDocument/2006/relationships/hyperlink" Target="https://gemini.google.com/share/93d2d77d25d0" TargetMode="External"/><Relationship Id="rId464" Type="http://schemas.openxmlformats.org/officeDocument/2006/relationships/hyperlink" Target="https://www.dropbox.com/scl/fi/7mc42298l9s2teezrif2h/HAJAN27010.mp4?rlkey=vb7bvzazeuolrnashgmsaqhte&amp;st=r5is8gwp&amp;dl=0" TargetMode="External"/><Relationship Id="rId100" Type="http://schemas.openxmlformats.org/officeDocument/2006/relationships/hyperlink" Target="https://www.dropbox.com/scl/fo/4fdgmut2m27rwxhhpj55l/ACHZZrriE7x5col7xvTyLxg?rlkey=tnr6mw8rem3miwbhceh7vxi3s&amp;st=odmlwrs1&amp;dl=0" TargetMode="External"/><Relationship Id="rId221" Type="http://schemas.openxmlformats.org/officeDocument/2006/relationships/hyperlink" Target="https://www.dropbox.com/scl/fo/1ygcl9cdst0zmxygmdieq/AN_OKWtH2_tgk6QhK8Qi1OE?rlkey=4yswpfwgn6z7qvh4awgkitok1&amp;st=84sxewqe&amp;dl=0" TargetMode="External"/><Relationship Id="rId342" Type="http://schemas.openxmlformats.org/officeDocument/2006/relationships/hyperlink" Target="https://www.dropbox.com/scl/fo/c12fx5dvh36vju90hg6gm/AHwAA26bs6c_ID5AOiiJB8E?rlkey=5irk6i3w2qkhaiwn7t3wonl2b&amp;st=no8sbyi1&amp;dl=0" TargetMode="External"/><Relationship Id="rId463" Type="http://schemas.openxmlformats.org/officeDocument/2006/relationships/hyperlink" Target="https://www.dropbox.com/scl/fo/174j0hn3ebaikwyiwiyco/AE3-jiBz0AxOb0wr8V98Rks?rlkey=ggxkdhcpykimc97qn5zeie914&amp;dl=0" TargetMode="External"/><Relationship Id="rId217" Type="http://schemas.openxmlformats.org/officeDocument/2006/relationships/hyperlink" Target="https://www.dropbox.com/scl/fo/hxivxjnfd9f9vabqangdx/AD7FG3QsaTgq_YQHB58xd-Y?rlkey=xfxno19x042gg8bval8215640&amp;dl=0" TargetMode="External"/><Relationship Id="rId338" Type="http://schemas.openxmlformats.org/officeDocument/2006/relationships/hyperlink" Target="https://gemini.google.com/share/b1dbd081b52c" TargetMode="External"/><Relationship Id="rId459" Type="http://schemas.openxmlformats.org/officeDocument/2006/relationships/hyperlink" Target="https://www.dropbox.com/scl/fi/zqeq0klepqef0aei4xdbz/VAJAN19003Rev2.mp4?rlkey=77mz9rsye4fz9nwwq3irm0mcz&amp;st=5x9tjcov&amp;dl=0" TargetMode="External"/><Relationship Id="rId216" Type="http://schemas.openxmlformats.org/officeDocument/2006/relationships/hyperlink" Target="https://www.dropbox.com/scl/fo/sy197z4qu481bq6x2qaaj/AMpnV7X_KL3ClvPl4dPnTzI?rlkey=wa399cil2kjbq882jci76vnfu&amp;st=zdhgy8bx&amp;dl=0" TargetMode="External"/><Relationship Id="rId337" Type="http://schemas.openxmlformats.org/officeDocument/2006/relationships/hyperlink" Target="https://www.dropbox.com/scl/fi/wj92yj2b0wm5k7pnaysln/HTFEB05011.mp4?rlkey=58d77vq7k6utessvwc3lbadcp&amp;st=zm3mgcex&amp;dl=0" TargetMode="External"/><Relationship Id="rId458" Type="http://schemas.openxmlformats.org/officeDocument/2006/relationships/hyperlink" Target="https://www.dropbox.com/scl/fo/6l56nt43c4ty5lc25v2gd/ACn82hbHPBk5KwbRLRm8SV0?e=1&amp;fbclid=IwY2xjawPdZiRleHRuA2FlbQIxMABicmlkETFQWDd4ZWhmTUFVYzNKNEVTc3J0YwZhcHBfaWQQMjIyMDM5MTc4ODIwMDg5MgABHl9NEf2jCecVDUKDlsNo8_2O1cbfcUMCNOREqFNVwfiaCOmZYu3-_gHMRvP1_aem_3YPuJYYcxxGLrmMt6IVYDg&amp;rlkey=k48ob99bcoc4ebxtcefm6p4yi&amp;dl=0" TargetMode="External"/><Relationship Id="rId215" Type="http://schemas.openxmlformats.org/officeDocument/2006/relationships/hyperlink" Target="https://www.dropbox.com/scl/fo/cu7s8fw0iz77fdi0i9tgm/AC6TptPvWDZN6lujK6i_O44?rlkey=6dlv6kwbjksulda8qyssdhpgd&amp;dl=0" TargetMode="External"/><Relationship Id="rId336" Type="http://schemas.openxmlformats.org/officeDocument/2006/relationships/hyperlink" Target="https://www.dropbox.com/scl/fo/tk31wl1dc4cd3k8c25gg0/AIXLBMm_7oN5PnNLqqdU3LU?rlkey=v9zp5yycb8et67d1w73v88hwt&amp;st=aa3fqfgg&amp;dl=0" TargetMode="External"/><Relationship Id="rId457" Type="http://schemas.openxmlformats.org/officeDocument/2006/relationships/hyperlink" Target="https://www.dropbox.com/scl/fi/r6xb84o85g3w930uilv5d/QUJAN19003Rev2.mp4?rlkey=1bq8dge6oblhieqg9der98j9d&amp;st=fl1i3dob&amp;dl=0" TargetMode="External"/><Relationship Id="rId214" Type="http://schemas.openxmlformats.org/officeDocument/2006/relationships/hyperlink" Target="https://www.dropbox.com/scl/fo/s57piq8ew2mgk4ua0l1tj/AFKd8RDe6hD5VmiGxkDk47Y?rlkey=qmwfgoe1e842vu8us8ddv70kj&amp;st=c6r4co7y&amp;dl=0" TargetMode="External"/><Relationship Id="rId335" Type="http://schemas.openxmlformats.org/officeDocument/2006/relationships/hyperlink" Target="https://www.dropbox.com/scl/fo/scp4dssy1t7hi12w3obrn/AAh3xMzjxuTbcNNtuyx-AaY?rlkey=2m2qa2p415smoddbl2lqfhrlx&amp;st=lc5jg5zo&amp;dl=0" TargetMode="External"/><Relationship Id="rId456" Type="http://schemas.openxmlformats.org/officeDocument/2006/relationships/hyperlink" Target="https://www.dropbox.com/scl/fo/jadl0116gwymih32uftox/AAoENHISC372VSCR9PqMR6U?rlkey=tifm5ucj9qknmswa4ud5mrya6&amp;dl=0" TargetMode="External"/><Relationship Id="rId219" Type="http://schemas.openxmlformats.org/officeDocument/2006/relationships/hyperlink" Target="https://www.dropbox.com/scl/fo/3v5x7137d59ltde4fgi5c/AFDhlJz2CIKS5-QStGffcFI?rlkey=h2ev3j4ck7a4q3cl5wyh38vxn&amp;dl=0" TargetMode="External"/><Relationship Id="rId218" Type="http://schemas.openxmlformats.org/officeDocument/2006/relationships/hyperlink" Target="https://www.dropbox.com/scl/fi/9h1hp7xfkxcqbva2q2c8e/HAJAN19007.mp4?rlkey=oa3h9xuw4f6ddgzrioabjy20q&amp;st=uojv4vg0&amp;dl=0" TargetMode="External"/><Relationship Id="rId339" Type="http://schemas.openxmlformats.org/officeDocument/2006/relationships/hyperlink" Target="https://www.dropbox.com/scl/fo/3w1tq696fl4gsr7xwxzs8/AKLbJVAW0hFmAUMTa6bMMik?rlkey=jouab4bvm6kdhqp7tcdp7t85c&amp;dl=0" TargetMode="External"/><Relationship Id="rId330" Type="http://schemas.openxmlformats.org/officeDocument/2006/relationships/hyperlink" Target="https://www.dropbox.com/scl/fo/u6jducu2te4u3oltt4b3m/AHhQ7e13D76L1UXp6e1UGjk?rlkey=os93j41eeeoy6a3urel5gdqpv&amp;dl=0" TargetMode="External"/><Relationship Id="rId451" Type="http://schemas.openxmlformats.org/officeDocument/2006/relationships/hyperlink" Target="https://www.dropbox.com/scl/fi/5ceo70z3ctezydykekklq/HTDEC02019.mp4?rlkey=nmk3up1xp09pmsv3vnf7oyxpm&amp;st=ia5ixnpv&amp;dl=0" TargetMode="External"/><Relationship Id="rId450" Type="http://schemas.openxmlformats.org/officeDocument/2006/relationships/hyperlink" Target="https://www.dropbox.com/scl/fo/mdibptnqk79xooudalpin/AKlvXg7TmBRiFCerjp8CqPw?rlkey=kbdrlrk69dfjw7ycawbwu8ixv&amp;dl=0" TargetMode="External"/><Relationship Id="rId213" Type="http://schemas.openxmlformats.org/officeDocument/2006/relationships/hyperlink" Target="https://www.dropbox.com/scl/fo/swj46dl4vlu9dqz08hudm/ABL9iuAnxeCs1JtzwzUhpEI?rlkey=cogout24b8kd577ilye2wl61u&amp;dl=0" TargetMode="External"/><Relationship Id="rId334" Type="http://schemas.openxmlformats.org/officeDocument/2006/relationships/hyperlink" Target="https://www.dropbox.com/scl/fo/51mdvoohl3qxac2jlcc9w/AIn9UWMS6oAX7Vp314lsJJQ?rlkey=gigo2uo8uyjk3kpjku2pekhal&amp;st=07iele99&amp;dl=0" TargetMode="External"/><Relationship Id="rId455" Type="http://schemas.openxmlformats.org/officeDocument/2006/relationships/hyperlink" Target="https://www.dropbox.com/scl/fo/jnx0nk0kn14vw98xm2is9/AMfEsNzLlOQ3ENAhahw2NnA?rlkey=a1al6inaaz6pvlve8jlqd47yz&amp;st=rnnbedb5&amp;dl=0" TargetMode="External"/><Relationship Id="rId212" Type="http://schemas.openxmlformats.org/officeDocument/2006/relationships/hyperlink" Target="https://www.dropbox.com/scl/fo/qtm0asyp931ggpqexoj5u/AB9lg-OZIo2W9GXH5nKH3DE?rlkey=b3wpbfzrw2pf3blbjeqp1qzgj&amp;st=lbmnnxw2&amp;dl=0" TargetMode="External"/><Relationship Id="rId333" Type="http://schemas.openxmlformats.org/officeDocument/2006/relationships/hyperlink" Target="https://www.dropbox.com/scl/fo/yurtxpi0kduw92f5ayqb8/AJo2XIRcKS3zBPkPi9qo8Xw?rlkey=pons2n8ffjpp8prnqgg75corl&amp;st=1rjisq07&amp;dl=0" TargetMode="External"/><Relationship Id="rId454" Type="http://schemas.openxmlformats.org/officeDocument/2006/relationships/hyperlink" Target="https://www.dropbox.com/scl/fo/nkkpv8htjc0vurs87zbu8/ALoEhf9j68a5MkhZUiuJiHs?rlkey=b3fun5qq4op7ra9h4t22fsi2q&amp;dl=0" TargetMode="External"/><Relationship Id="rId211" Type="http://schemas.openxmlformats.org/officeDocument/2006/relationships/hyperlink" Target="https://www.dropbox.com/scl/fo/9dtxlkvt9dhn0ctzhdo45/AGFjp705zbt_VGxQybLojdM?rlkey=d0g42itwcny3y2plgqsmxcea5&amp;dl=0" TargetMode="External"/><Relationship Id="rId332" Type="http://schemas.openxmlformats.org/officeDocument/2006/relationships/hyperlink" Target="https://www.dropbox.com/scl/fo/xh2809gr3q0kgl2z0ajrf/AFqYVQbvySKaauCBkS5_Hhs?rlkey=qkw3s97z1lqqeqxtce77xn384&amp;st=uzrs1lua&amp;dl=0" TargetMode="External"/><Relationship Id="rId453" Type="http://schemas.openxmlformats.org/officeDocument/2006/relationships/hyperlink" Target="https://www.dropbox.com/scl/fi/8pf8wg7bg7hzppt1xuopu/CADEC24012.mp4?rlkey=aj4iob2dij0qujjoovbqu0sjf&amp;st=3f5jmygp&amp;dl=0" TargetMode="External"/><Relationship Id="rId210" Type="http://schemas.openxmlformats.org/officeDocument/2006/relationships/hyperlink" Target="https://www.dropbox.com/scl/fo/hzkvkfwz6o5wvcetla9cz/AFm72UFGhGFwOiHnU-i-Pz8?rlkey=v4w5uwi4ipzw4oc8lpjj4my8k&amp;st=lsodcscr&amp;dl=0" TargetMode="External"/><Relationship Id="rId331" Type="http://schemas.openxmlformats.org/officeDocument/2006/relationships/hyperlink" Target="https://www.dropbox.com/scl/fo/0bul86dbt7spk0fga79v2/APst1CsNLCm_Ca23ubzMQM8?rlkey=081yniipjux6fkbzqkwljepgt&amp;st=baea7ioh&amp;dl=0" TargetMode="External"/><Relationship Id="rId452" Type="http://schemas.openxmlformats.org/officeDocument/2006/relationships/hyperlink" Target="https://www.dropbox.com/scl/fi/zzu49dcecqmemrgpstk6x/before.jpg?rlkey=086owpgt980aemlz9zu1yy66i&amp;e=1&amp;dl=0" TargetMode="External"/><Relationship Id="rId370" Type="http://schemas.openxmlformats.org/officeDocument/2006/relationships/hyperlink" Target="https://www.dropbox.com/scl/fo/eqmws8luvvgh2sqda98ov/ADoXX0C0VAsraHtvNrjIf-E?rlkey=l7i6o8vk3lcxsqjo5mq2uoo1c&amp;dl=0" TargetMode="External"/><Relationship Id="rId129" Type="http://schemas.openxmlformats.org/officeDocument/2006/relationships/hyperlink" Target="https://www.dropbox.com/scl/fo/rocv5qfq1efnv8fcpjy22/ADtE5nMFTiVLF7wrazBTfNY?rlkey=v4hdowyolemt218ba1k40s2zi&amp;st=i27if4no&amp;dl=0" TargetMode="External"/><Relationship Id="rId128" Type="http://schemas.openxmlformats.org/officeDocument/2006/relationships/hyperlink" Target="https://www.dropbox.com/scl/fi/4dqrb84mqf8b3nfqz8ziw/1925-north-ct-rd.png?rlkey=24bt5vd41tncb7pcpiiq60b03&amp;dl=0" TargetMode="External"/><Relationship Id="rId249" Type="http://schemas.openxmlformats.org/officeDocument/2006/relationships/hyperlink" Target="https://www.dropbox.com/scl/fo/ie82m58pe5vs7eur5awj0/AE9at30TR9lWF33ZTD47GdQ?rlkey=1xtwjvuwp529cor3ogkvd3p9f&amp;st=1pzsq2ba&amp;dl=0" TargetMode="External"/><Relationship Id="rId127" Type="http://schemas.openxmlformats.org/officeDocument/2006/relationships/hyperlink" Target="https://www.dropbox.com/scl/fo/pv0rxoj0f1i27d7lly3vw/AL7seRXCmeHs7gBDnh-3XuE?rlkey=dzariq11lqx4o2mesmlux5txv&amp;st=q8dvnwdb&amp;dl=0" TargetMode="External"/><Relationship Id="rId248" Type="http://schemas.openxmlformats.org/officeDocument/2006/relationships/hyperlink" Target="https://gemini.google.com/app/1f103955e4cb02b4" TargetMode="External"/><Relationship Id="rId369" Type="http://schemas.openxmlformats.org/officeDocument/2006/relationships/hyperlink" Target="https://www.dropbox.com/scl/fo/qaxays5heo4oty4xal2v0/ABKbnnyRBF7Rci3XklZ3C7o?rlkey=zxopusw1igf4v56ixpvcl0kty&amp;st=eryuhr5a&amp;dl=0" TargetMode="External"/><Relationship Id="rId126" Type="http://schemas.openxmlformats.org/officeDocument/2006/relationships/hyperlink" Target="https://www.dropbox.com/scl/fo/378ci9naio3b8j5poceld/AGopSujUFnTcnnSLa-9tp6Q?rlkey=by7roqxjuneykqiays3copu3y&amp;st=zkb01xic&amp;dl=0" TargetMode="External"/><Relationship Id="rId247" Type="http://schemas.openxmlformats.org/officeDocument/2006/relationships/hyperlink" Target="https://www.dropbox.com/scl/fo/xerhl8k4fq59rbkgu22zj/ADrYC5Kdf_JY14u98Niu1M8?rlkey=y5wejvp8r2lhs7wwb0rwcdsrn&amp;st=azycp7ve&amp;dl=0" TargetMode="External"/><Relationship Id="rId368" Type="http://schemas.openxmlformats.org/officeDocument/2006/relationships/hyperlink" Target="https://www.dropbox.com/scl/fo/6hf96bga7weawznfcle09/AL14B3G-FptRfOSg4cmudH4?rlkey=yeffepwmyrbmnki8q1h9m0gbd&amp;dl=0" TargetMode="External"/><Relationship Id="rId489" Type="http://schemas.openxmlformats.org/officeDocument/2006/relationships/drawing" Target="../drawings/drawing3.xml"/><Relationship Id="rId121" Type="http://schemas.openxmlformats.org/officeDocument/2006/relationships/hyperlink" Target="https://www.dropbox.com/scl/fo/b5b2hlzkpek5hvfoioas3/AEE3PBBgdBRxOU1chxU2Ccs?rlkey=ravxzoai60wgnpsbma3l084hq&amp;st=fvce5uc4&amp;dl=0" TargetMode="External"/><Relationship Id="rId242" Type="http://schemas.openxmlformats.org/officeDocument/2006/relationships/hyperlink" Target="https://www.dropbox.com/scl/fo/wj4dpi62kwqtk7q6llpc7/AL3lIzFgZIb_9zNnd5CnLIs?rlkey=czi0md5o9km0axsd6b1yasgay&amp;dl=0" TargetMode="External"/><Relationship Id="rId363" Type="http://schemas.openxmlformats.org/officeDocument/2006/relationships/hyperlink" Target="https://www.dropbox.com/scl/fo/du1rw2sai3kdzn71p20hu/AKajJ6LsvmgVaCrR8ixnCq8?rlkey=2uwxwktm99d5wrj31bxd58dme&amp;st=auo0s5hk&amp;dl=0" TargetMode="External"/><Relationship Id="rId484" Type="http://schemas.openxmlformats.org/officeDocument/2006/relationships/hyperlink" Target="https://www.dropbox.com/scl/fo/7wotfzjby6dzxi6lp7e63/AMYRoDSm9BzU5SyGOAUjY38?rlkey=bx082x87ommyxyto6ihr9byml&amp;st=hl7ca8ei&amp;dl=0" TargetMode="External"/><Relationship Id="rId120" Type="http://schemas.openxmlformats.org/officeDocument/2006/relationships/hyperlink" Target="https://www.dropbox.com/scl/fo/gr8di6mg0h4l986azs2uf/AIqxZZIoB0CT9mA0kOo_ogY?rlkey=j28f3h8bz4nhmf6w8hdez9vpv&amp;dl=0" TargetMode="External"/><Relationship Id="rId241" Type="http://schemas.openxmlformats.org/officeDocument/2006/relationships/hyperlink" Target="https://www.dropbox.com/scl/fo/wfs7v427kv2ocfk8lbgfe/AIysahU0HQsqiBIKrnXV4vc?rlkey=4quns2kziwbtxjfe4te4211r7&amp;st=4pb7p2dg&amp;dl=0" TargetMode="External"/><Relationship Id="rId362" Type="http://schemas.openxmlformats.org/officeDocument/2006/relationships/hyperlink" Target="https://www.dropbox.com/scl/fo/6uvegvrifixxjuaobz1t7/ADXFGp-5SLirwGHEdiI-d8g?rlkey=an8cx9212ui2vktfo9sv3joqz&amp;st=u73vaedp&amp;dl=0" TargetMode="External"/><Relationship Id="rId483" Type="http://schemas.openxmlformats.org/officeDocument/2006/relationships/hyperlink" Target="https://www.dropbox.com/scl/fi/uvrhtvvpp0c35ehqacnxk/THFEB04048.mp4?rlkey=3h6cc1mbm1e738z85fwn9xalf&amp;st=ts20gvo1&amp;dl=0" TargetMode="External"/><Relationship Id="rId240" Type="http://schemas.openxmlformats.org/officeDocument/2006/relationships/hyperlink" Target="https://www.dropbox.com/scl/fo/mrmdkw3dvo06gdzt15ewy/AEyazRQGqk7Ok9mWBOBdeiU?rlkey=ef7jz64g4nw7h7cq4l0iee6gn&amp;dl=0" TargetMode="External"/><Relationship Id="rId361" Type="http://schemas.openxmlformats.org/officeDocument/2006/relationships/hyperlink" Target="https://www.dropbox.com/scl/fi/rry40k2whopjmbmkaqelj/HTJAN17001Rev3.mp4?rlkey=xb8y360ody1n2w64xwll5ou36&amp;st=hmsr4s5h&amp;dl=0" TargetMode="External"/><Relationship Id="rId482" Type="http://schemas.openxmlformats.org/officeDocument/2006/relationships/hyperlink" Target="https://www.dropbox.com/scl/fo/np3588uvatc7lvgyfrs6c/AAiioPn5qtRiYgLQVe_pVio?rlkey=qicb8rw3ep71zebg8vp6lzfqg&amp;dl=0" TargetMode="External"/><Relationship Id="rId360" Type="http://schemas.openxmlformats.org/officeDocument/2006/relationships/hyperlink" Target="https://www.dropbox.com/scl/fo/8wu0xlp60475xll9qmg9s/ANhg0wTEt7F8Iwj1pRTHFS8?rlkey=ysgzrv7bsoj6j5uuronrkgfmd&amp;dl=0" TargetMode="External"/><Relationship Id="rId481" Type="http://schemas.openxmlformats.org/officeDocument/2006/relationships/hyperlink" Target="https://www.dropbox.com/scl/fo/cw3g5oo9q0bgmn3sd3lo0/ABTtIOpAYkW79X0KUlUAt8I?rlkey=98kipmmv99ehsgln41f57g14s&amp;st=34vnj5qr&amp;dl=0" TargetMode="External"/><Relationship Id="rId125" Type="http://schemas.openxmlformats.org/officeDocument/2006/relationships/hyperlink" Target="https://gemini.google.com/share/acab957cc212" TargetMode="External"/><Relationship Id="rId246" Type="http://schemas.openxmlformats.org/officeDocument/2006/relationships/hyperlink" Target="https://www.dropbox.com/scl/fo/y1xlprr6shk3sbd88d5sj/ADSMc2XtUkBiIbSBOeVIDYw?rlkey=l8g0ctxmx6f9yagpm9j7r94vv&amp;dl=0" TargetMode="External"/><Relationship Id="rId367" Type="http://schemas.openxmlformats.org/officeDocument/2006/relationships/hyperlink" Target="https://www.dropbox.com/scl/fi/rarz8435l1qs3iyt6eybp/QUJAN24007Rev.mp4?rlkey=21iuozssvqo9thmn4w44ahmsn&amp;st=abuq39zh&amp;dl=0" TargetMode="External"/><Relationship Id="rId488" Type="http://schemas.openxmlformats.org/officeDocument/2006/relationships/hyperlink" Target="https://www.dropbox.com/scl/fo/ogsfuet8uarfbtrgunz88/AJe90M095SJXdbvLt-TDuK0?rlkey=vo62g8bfu9c3fgof9bpcicvm2&amp;st=zwbs6grh&amp;dl=0" TargetMode="External"/><Relationship Id="rId124" Type="http://schemas.openxmlformats.org/officeDocument/2006/relationships/hyperlink" Target="https://www.dropbox.com/scl/fo/x4qi8m5h3snmtc5sf14t8/AMdDvDaWWksBmC7tPU9ct3Q?rlkey=j6ldbhpihwvm9ejdz2uc7ny2j&amp;st=8obn4lxp&amp;dl=0" TargetMode="External"/><Relationship Id="rId245" Type="http://schemas.openxmlformats.org/officeDocument/2006/relationships/hyperlink" Target="https://www.dropbox.com/scl/fi/fn4ol8w5bq1meyzx5yw0y/TLJAN24003.mp4?rlkey=nbb1vub75yz56yc55t0xvbd8c&amp;st=eeryfrgo&amp;dl=0" TargetMode="External"/><Relationship Id="rId366" Type="http://schemas.openxmlformats.org/officeDocument/2006/relationships/hyperlink" Target="https://www.dropbox.com/scl/fo/b50rrtcgdln281ezb4xwz/AG_yjZUuB9WchM3H02lndmE?rlkey=4nuit235rdjluy2jhhc74s3kz&amp;dl=0" TargetMode="External"/><Relationship Id="rId487" Type="http://schemas.openxmlformats.org/officeDocument/2006/relationships/hyperlink" Target="https://www.dropbox.com/scl/fi/bgpix4dy5s2dekb1hdavt/TRFEB05004.mp4?rlkey=7u77qawj2pv0bwd4c7740tszt&amp;st=vs9dlnqr&amp;dl=0" TargetMode="External"/><Relationship Id="rId123" Type="http://schemas.openxmlformats.org/officeDocument/2006/relationships/hyperlink" Target="https://www.dropbox.com/scl/fo/ufwgclog97drwxfp9vuxx/AHkgT9DTc2ICRcFX_LAZYbY?rlkey=1tc9mw46poq50ho28zqovfv55&amp;dl=0" TargetMode="External"/><Relationship Id="rId244" Type="http://schemas.openxmlformats.org/officeDocument/2006/relationships/hyperlink" Target="https://www.dropbox.com/scl/fo/kc027u09651sv2cv4p525/AGOJZK6fN-YMHVDUJVVR5xM?rlkey=18sii5w7utk65b0qts40u3svj&amp;dl=0" TargetMode="External"/><Relationship Id="rId365" Type="http://schemas.openxmlformats.org/officeDocument/2006/relationships/hyperlink" Target="https://www.dropbox.com/scl/fo/xerhl8k4fq59rbkgu22zj/ADrYC5Kdf_JY14u98Niu1M8?rlkey=y5wejvp8r2lhs7wwb0rwcdsrn&amp;st=azycp7ve&amp;dl=0" TargetMode="External"/><Relationship Id="rId486" Type="http://schemas.openxmlformats.org/officeDocument/2006/relationships/hyperlink" Target="https://www.dropbox.com/scl/fo/9unwukzdxjiy0eb18e61g/ALelJfmH5IbGDxC5CebJNis?rlkey=pieopkyugm5ayyno5es5q5b79&amp;dl=0" TargetMode="External"/><Relationship Id="rId122" Type="http://schemas.openxmlformats.org/officeDocument/2006/relationships/hyperlink" Target="https://gemini.google.com/share/07f9efab7ad1" TargetMode="External"/><Relationship Id="rId243" Type="http://schemas.openxmlformats.org/officeDocument/2006/relationships/hyperlink" Target="https://www.dropbox.com/scl/fo/d25d769uv140687hnnpxp/AANXptL2Xkn4tnUbWDIenJg?rlkey=ai80hjs32y1ohxkslytch4zhm&amp;st=w8jzhyr2&amp;dl=0" TargetMode="External"/><Relationship Id="rId364" Type="http://schemas.openxmlformats.org/officeDocument/2006/relationships/hyperlink" Target="https://www.dropbox.com/scl/fo/y1xlprr6shk3sbd88d5sj/ADSMc2XtUkBiIbSBOeVIDYw?rlkey=l8g0ctxmx6f9yagpm9j7r94vv&amp;dl=0" TargetMode="External"/><Relationship Id="rId485" Type="http://schemas.openxmlformats.org/officeDocument/2006/relationships/hyperlink" Target="https://www.dropbox.com/scl/fo/ey57ygtv94c7bwnsvnu96/AFKUtyHBZlqqWhfQkD1hZ6Y?rlkey=jaevg46ln0jabj8ih1cq7nmr6&amp;st=l3u7c328&amp;dl=0" TargetMode="External"/><Relationship Id="rId95" Type="http://schemas.openxmlformats.org/officeDocument/2006/relationships/hyperlink" Target="https://www.dropbox.com/scl/fo/4cgxd2cdt8aogz6ttr5uc/AMtf5XPQ91e2Gcg-WvAJrZo?rlkey=obnfbkpvcjapqatqks36uctau&amp;dl=0" TargetMode="External"/><Relationship Id="rId94" Type="http://schemas.openxmlformats.org/officeDocument/2006/relationships/hyperlink" Target="https://www.dropbox.com/scl/fo/9lkhr7lofs5b4z6o6vtwt/AKzM2EWzbjKYuGOZDC3Z40Q?rlkey=59zr273nu7eet8p85ti0hos2g&amp;st=oqrm8u92&amp;dl=0" TargetMode="External"/><Relationship Id="rId97" Type="http://schemas.openxmlformats.org/officeDocument/2006/relationships/hyperlink" Target="https://www.dropbox.com/scl/fo/xpwkt8w055zowldecnnkk/ACC7vPPRSTGhV7DzhRFWi2E?rlkey=3xqvjegaxruep66z7p1pseyr4&amp;dl=0" TargetMode="External"/><Relationship Id="rId96" Type="http://schemas.openxmlformats.org/officeDocument/2006/relationships/hyperlink" Target="https://www.dropbox.com/scl/fo/ci6wllu2hgw82bu36s8rb/AGaHePXTBgnFiSNgDhe3bkE?rlkey=7d9aey7rp64mo90376hk9zkd0&amp;st=8j8kgq9h&amp;dl=0" TargetMode="External"/><Relationship Id="rId99" Type="http://schemas.openxmlformats.org/officeDocument/2006/relationships/hyperlink" Target="https://www.dropbox.com/scl/fo/taa59mj2ct1kuhvpidx29/AFBPs2UgCr8PJ9eQfup9k3k?rlkey=twcy8cblrsydzc8n8fjjr8dit&amp;dl=0" TargetMode="External"/><Relationship Id="rId480" Type="http://schemas.openxmlformats.org/officeDocument/2006/relationships/hyperlink" Target="https://www.dropbox.com/scl/fo/t6lyzok6vjs7jqcj8w4n7/AB7BnB5nmc0IK5EpuBPEWew?rlkey=e1q1vqyo3fk9cwv506pqd2yjj&amp;dl=0" TargetMode="External"/><Relationship Id="rId98" Type="http://schemas.openxmlformats.org/officeDocument/2006/relationships/hyperlink" Target="https://www.dropbox.com/scl/fo/io936yglgmx74l4hc71yb/AHX5MrTBl3P1YqERYnXekCM?rlkey=wegd3mo7d2g3m4jbshguuwoin&amp;st=t7ra4cte&amp;dl=0" TargetMode="External"/><Relationship Id="rId91" Type="http://schemas.openxmlformats.org/officeDocument/2006/relationships/hyperlink" Target="https://www.dropbox.com/scl/fi/mibqy4khl8nq3b7ot4632/NGFEB05002Rev.mp4?rlkey=3pouwt187t4ig5gz113z1behk&amp;st=qou783fx&amp;dl=0" TargetMode="External"/><Relationship Id="rId90" Type="http://schemas.openxmlformats.org/officeDocument/2006/relationships/hyperlink" Target="https://www.dropbox.com/scl/fo/6vg4vq1refe0dissh50ow/ACrgpHI7FlMDmgxyFtM3xJ4?rlkey=atmy60d1jrnnr9dzh9jfv34kh&amp;dl=0" TargetMode="External"/><Relationship Id="rId93" Type="http://schemas.openxmlformats.org/officeDocument/2006/relationships/hyperlink" Target="https://www.dropbox.com/scl/fo/b52kv2e9tqsj5ibrqqxuv/APeVUFIMS977ZhHbJUayvNw?rlkey=6ihcj3ysv8xnyn1suuxk7z26d&amp;dl=0" TargetMode="External"/><Relationship Id="rId92" Type="http://schemas.openxmlformats.org/officeDocument/2006/relationships/hyperlink" Target="https://gemini.google.com/share/58cac64b2c46" TargetMode="External"/><Relationship Id="rId118" Type="http://schemas.openxmlformats.org/officeDocument/2006/relationships/hyperlink" Target="https://www.dropbox.com/scl/fo/2wm8ogbjx2qveluphgp79/ANFVjQSj4FQ-S9vL8Ae9vvY?rlkey=l9z6aahcljrwcx41g1hhcfrd8&amp;dl=0" TargetMode="External"/><Relationship Id="rId239" Type="http://schemas.openxmlformats.org/officeDocument/2006/relationships/hyperlink" Target="https://www.dropbox.com/scl/fo/eulpjvproo7jyplqvh32x/AJ6A2-4-CNy8-pyv7x1muOw?rlkey=ixl9gxuunh7tj9f2yrr23sscy&amp;st=07n1g530&amp;dl=0" TargetMode="External"/><Relationship Id="rId117" Type="http://schemas.openxmlformats.org/officeDocument/2006/relationships/hyperlink" Target="https://www.dropbox.com/scl/fo/i07b0n85tfsm4xz867a0t/AFFCrGsJviFgqjHYgoz3sDw?rlkey=gnc4nbozdzs8uan02v7upxoe0&amp;st=5bsqv0uq&amp;dl=0" TargetMode="External"/><Relationship Id="rId238" Type="http://schemas.openxmlformats.org/officeDocument/2006/relationships/hyperlink" Target="https://www.dropbox.com/scl/fo/fma1nbrm9hz0plz0nenx8/AHk8w4HsIjscWsdBehH-kmY?rlkey=rnh8neq3v57zn8dzyaik66kdz&amp;dl=0" TargetMode="External"/><Relationship Id="rId359" Type="http://schemas.openxmlformats.org/officeDocument/2006/relationships/hyperlink" Target="https://gemini.google.com/share/6d4402bb1672" TargetMode="External"/><Relationship Id="rId116" Type="http://schemas.openxmlformats.org/officeDocument/2006/relationships/hyperlink" Target="https://www.dropbox.com/scl/fo/ul6fuusbrx3gtptmf9s1e/AOZYc8_MZBAe529kGEFSSoU?rlkey=s3xrluyi7gk8swql4je4kkpic&amp;st=bkkqzx1j&amp;dl=0" TargetMode="External"/><Relationship Id="rId237" Type="http://schemas.openxmlformats.org/officeDocument/2006/relationships/hyperlink" Target="https://www.dropbox.com/scl/fi/b5m7kug9z6qtdof1ymdcr/NGJAN20005rev2.mp4?rlkey=hyr1hs58xzbp9229rl3fohxxw&amp;st=uf86t97t&amp;dl=0" TargetMode="External"/><Relationship Id="rId358" Type="http://schemas.openxmlformats.org/officeDocument/2006/relationships/hyperlink" Target="https://www.dropbox.com/scl/fi/paa7qa3079be3zqu4f8th/CAFEB06012.mp4?rlkey=iw4aoz3h3jto7v5bksyfa9luh&amp;st=omejg6hg&amp;dl=0" TargetMode="External"/><Relationship Id="rId479" Type="http://schemas.openxmlformats.org/officeDocument/2006/relationships/hyperlink" Target="https://www.dropbox.com/scl/fo/m520pgr51vga3m5qh9hwv/AKv8kC4M7G9wDNEviA0kEzM?rlkey=injvnruegtfh4mjf08lwa06g2&amp;st=3rjfyqw6&amp;dl=0" TargetMode="External"/><Relationship Id="rId115" Type="http://schemas.openxmlformats.org/officeDocument/2006/relationships/hyperlink" Target="https://www.dropbox.com/scl/fo/5f7h3vcbf2ciqvty98bhs/ADgM2-987Fq6psLz8GBmnVs?rlkey=3zgjjj6flz2mdo76885p0gken&amp;st=znjcntzj&amp;dl=0" TargetMode="External"/><Relationship Id="rId236" Type="http://schemas.openxmlformats.org/officeDocument/2006/relationships/hyperlink" Target="https://www.dropbox.com/scl/fo/nd5zl26k1oku3po58n2cu/AGsDBrUP5LLsH7v2Sw2BUSk?rlkey=9io3vr45hmgqt9ze4a9b1wvno&amp;dl=0" TargetMode="External"/><Relationship Id="rId357" Type="http://schemas.openxmlformats.org/officeDocument/2006/relationships/hyperlink" Target="https://www.dropbox.com/scl/fo/5qcbl6p3d52kw1w89w3oh/AIYtGE8oZaP2xckTncr2t4I?rlkey=sm8hhy976yxetgelkbkm9cc6g&amp;dl=0" TargetMode="External"/><Relationship Id="rId478" Type="http://schemas.openxmlformats.org/officeDocument/2006/relationships/hyperlink" Target="https://www.dropbox.com/scl/fo/7wotfzjby6dzxi6lp7e63/AMYRoDSm9BzU5SyGOAUjY38?rlkey=bx082x87ommyxyto6ihr9byml&amp;st=qpiotwlu&amp;dl=0" TargetMode="External"/><Relationship Id="rId119" Type="http://schemas.openxmlformats.org/officeDocument/2006/relationships/hyperlink" Target="https://www.dropbox.com/scl/fo/evhmcv6mn8p7kyq9vuwv9/AD2Ayuy4Xy1iBUsRw6tOFuA?rlkey=vr3hxzm55qi3rtwhmwu7qqytx&amp;st=bcdlns0q&amp;dl=0" TargetMode="External"/><Relationship Id="rId110" Type="http://schemas.openxmlformats.org/officeDocument/2006/relationships/hyperlink" Target="https://www.dropbox.com/scl/fo/0ltjw7orbdgvwkpvudl8e/AOFgRBA_GCorsdS3zdKIyPM?rlkey=94cu7m65aoked6m2x91hbenwe&amp;dl=0" TargetMode="External"/><Relationship Id="rId231" Type="http://schemas.openxmlformats.org/officeDocument/2006/relationships/hyperlink" Target="https://www.dropbox.com/scl/fo/ywmpgwffl7d274djp1dq3/ANvTJVQhc3IdcRfa-nITWdY?rlkey=74paiokai2aj7c49trv74ch4e&amp;dl=0" TargetMode="External"/><Relationship Id="rId352" Type="http://schemas.openxmlformats.org/officeDocument/2006/relationships/hyperlink" Target="https://www.dropbox.com/scl/fo/4ro4z2cgqpb8vnzyb2jhv/AJn0v5aXviuwmhHWYrXXbvE?rlkey=hbkp6gayhos9tlo37td80z84q&amp;st=x7fl0572&amp;dl=0" TargetMode="External"/><Relationship Id="rId473" Type="http://schemas.openxmlformats.org/officeDocument/2006/relationships/hyperlink" Target="https://www.dropbox.com/t/xVDOSeXI9ujc6Wlr" TargetMode="External"/><Relationship Id="rId230" Type="http://schemas.openxmlformats.org/officeDocument/2006/relationships/hyperlink" Target="https://www.dropbox.com/scl/fo/p5gxqof5dvbc0od8i62k6/AG1UGJBM4pdpMKB4TRJYVn0?rlkey=9r27ltfoxj6uazwdk14rgv3hc&amp;st=y3ie6i5c&amp;dl=0" TargetMode="External"/><Relationship Id="rId351" Type="http://schemas.openxmlformats.org/officeDocument/2006/relationships/hyperlink" Target="https://www.dropbox.com/scl/fo/31fkbjllh1qo5vir8cac4/ACNbE8j9ZSmUghSsqR5Ozqk?rlkey=6gqj69zirxpi7w65d2xzjsfnc&amp;dl=0" TargetMode="External"/><Relationship Id="rId472" Type="http://schemas.openxmlformats.org/officeDocument/2006/relationships/hyperlink" Target="https://www.dropbox.com/scl/fo/zqg0jjgp25fcq43rz60sx/AONXXq9SIxSbMkXHq4Rw6fI?rlkey=d64pm3yz8g9tbup49ya3s7g8y&amp;st=kybcy53m&amp;dl=0" TargetMode="External"/><Relationship Id="rId350" Type="http://schemas.openxmlformats.org/officeDocument/2006/relationships/hyperlink" Target="https://www.dropbox.com/scl/fo/bf9026ue3fpt07hyhxy0n/AMME4W4DeXxQBMnzuLA9mcM?rlkey=4bdx4xipgg1g1rsntffaei0wm&amp;st=afgtqlxs&amp;dl=0" TargetMode="External"/><Relationship Id="rId471" Type="http://schemas.openxmlformats.org/officeDocument/2006/relationships/hyperlink" Target="https://www.dropbox.com/scl/fo/pzydvjadt44b9w4d8hvns/AGQTP0whYgMZF4dc16n4xX8?rlkey=p9gywb5xg8xju0bn8lnic78wr&amp;dl=0" TargetMode="External"/><Relationship Id="rId470" Type="http://schemas.openxmlformats.org/officeDocument/2006/relationships/hyperlink" Target="https://www.dropbox.com/scl/fo/9hyjp1r6sie4dgj5t16ur/AOkrFE6FhviWbj_DrG5xv_I?rlkey=j9iy8o30s68taowxbbh19gjjy&amp;st=yo7m38nr&amp;dl=0" TargetMode="External"/><Relationship Id="rId114" Type="http://schemas.openxmlformats.org/officeDocument/2006/relationships/hyperlink" Target="https://www.dropbox.com/scl/fo/az1pfqrhbudjnhnl0qcm0/ACYIlddpKYUs5D1qHv57_KA?rlkey=hn2elrz94sr2lopnq674vgel9&amp;dl=0" TargetMode="External"/><Relationship Id="rId235" Type="http://schemas.openxmlformats.org/officeDocument/2006/relationships/hyperlink" Target="https://www.dropbox.com/scl/fo/j50ao7u232jfpfu33zxys/ACZl_OsSDg9xyADrHDYGjd8?rlkey=iwtyp3kkcvw6lwvi61x7i7zkd&amp;st=qddz2t2e&amp;dl=0" TargetMode="External"/><Relationship Id="rId356" Type="http://schemas.openxmlformats.org/officeDocument/2006/relationships/hyperlink" Target="https://www.dropbox.com/scl/fo/si408pf25vt0qco0edd9b/ACyZ_Y1ebjyMSl8fWQbMOAQ?rlkey=8f0gspmd9sgrrubwpfez0wfer&amp;st=3ikerl0u&amp;dl=0" TargetMode="External"/><Relationship Id="rId477" Type="http://schemas.openxmlformats.org/officeDocument/2006/relationships/hyperlink" Target="https://www.dropbox.com/scl/fo/i1c6ngby8pax2xye4halr/AM7dxcVJ_HDqsnBK9NpEXjY?rlkey=eeel2fbn0ru7lkwmvjt6wx76e&amp;st=t8s7vamx&amp;dl=0" TargetMode="External"/><Relationship Id="rId113" Type="http://schemas.openxmlformats.org/officeDocument/2006/relationships/hyperlink" Target="https://www.dropbox.com/scl/fi/zxajr04z3uvcgq0xm3ui4/HTJAN01005Rev.mp4?rlkey=mkwl91ecew8ray8l2dlldh4fj&amp;st=mmc6818p&amp;dl=0" TargetMode="External"/><Relationship Id="rId234" Type="http://schemas.openxmlformats.org/officeDocument/2006/relationships/hyperlink" Target="https://www.dropbox.com/scl/fo/sdueulb2g969bf1mli89z/AJR-fMjXbErD33zIpoHQ3K8?rlkey=dhfcs8yi5yfrugql6vxe55f81&amp;dl=0" TargetMode="External"/><Relationship Id="rId355" Type="http://schemas.openxmlformats.org/officeDocument/2006/relationships/hyperlink" Target="https://www.dropbox.com/scl/fo/ldqzuub1filonfr3jotnx/AJCZVczzxi9K0D-dk3OOGxU?rlkey=ey1qjf9odvbiqvr2vupjuzyrk&amp;dl=0" TargetMode="External"/><Relationship Id="rId476" Type="http://schemas.openxmlformats.org/officeDocument/2006/relationships/hyperlink" Target="https://www.dropbox.com/scl/fo/0qmgue1m7gf6j0iwnwvu3/AGhQBxO2_mxZ6rXacIFJFz0?rlkey=nymt0vygoes6iye1cmf67c1p4&amp;dl=0" TargetMode="External"/><Relationship Id="rId112" Type="http://schemas.openxmlformats.org/officeDocument/2006/relationships/hyperlink" Target="https://www.dropbox.com/scl/fo/49bljgbxwtxsq2wlnlx6l/AGJbsw3idUza0Iz1Uqog5O0?rlkey=qzvldyx5k14e8hgcrvqnee191&amp;st=oyf579nr&amp;dl=0" TargetMode="External"/><Relationship Id="rId233" Type="http://schemas.openxmlformats.org/officeDocument/2006/relationships/hyperlink" Target="https://gemini.google.com/share/e17a5daa68cc" TargetMode="External"/><Relationship Id="rId354" Type="http://schemas.openxmlformats.org/officeDocument/2006/relationships/hyperlink" Target="https://www.dropbox.com/scl/fo/va6pbm2veb9s3pacwpmv0/APozkPDGkPjC_-ISIvBIH68?rlkey=v4j35ckhrt21vj926vdtwdwo3&amp;st=g9wozgei&amp;dl=0" TargetMode="External"/><Relationship Id="rId475" Type="http://schemas.openxmlformats.org/officeDocument/2006/relationships/hyperlink" Target="https://gemini.google.com/share/1c98f689c98a" TargetMode="External"/><Relationship Id="rId111" Type="http://schemas.openxmlformats.org/officeDocument/2006/relationships/hyperlink" Target="https://www.dropbox.com/scl/fo/7bzwcfmwowxlhfwdco2j0/AFxf2tWTK2u4WrKKHR3Prlw?rlkey=q36ie6y5b5sc67yp72bo9t1hh&amp;st=8k9yx9od&amp;dl=0" TargetMode="External"/><Relationship Id="rId232" Type="http://schemas.openxmlformats.org/officeDocument/2006/relationships/hyperlink" Target="https://www.dropbox.com/scl/fo/jh2xxyy7puckzhe01ir20/AN9awuYxL4r7IPHiQAmD_jY?rlkey=5wvvoy2loevc3cuh67vydankz&amp;st=6ahzmbna&amp;dl=0" TargetMode="External"/><Relationship Id="rId353" Type="http://schemas.openxmlformats.org/officeDocument/2006/relationships/hyperlink" Target="https://www.dropbox.com/scl/fo/hscozvb5vd725vkce05kl/AIM_tGdBZfcUMLTgTASpn-Y?rlkey=akscwpcxxzbkrncolb4rjk6ko&amp;st=vihk0dtc&amp;dl=0" TargetMode="External"/><Relationship Id="rId474" Type="http://schemas.openxmlformats.org/officeDocument/2006/relationships/hyperlink" Target="https://www.dropbox.com/scl/fi/2og3tymvnhhefrpjyuhq3/DUJAN30008.mp4?rlkey=817n481bf7vsx25i7pyofjmmb&amp;st=ugks6uj3&amp;dl=0" TargetMode="External"/><Relationship Id="rId305" Type="http://schemas.openxmlformats.org/officeDocument/2006/relationships/hyperlink" Target="https://www.dropbox.com/scl/fi/37id4z48oiflema597wha/QUJAN28010Rev3.mp4?rlkey=d54thhy1zl04b6wr7uno46ctw&amp;st=tfgjvwmq&amp;dl=0" TargetMode="External"/><Relationship Id="rId426" Type="http://schemas.openxmlformats.org/officeDocument/2006/relationships/hyperlink" Target="https://www.dropbox.com/scl/fi/7x514smzm4i0k0pypkc9h/1925-north-ct-rd1.png?rlkey=qiurcidxt83s8fd7gtc1sm313&amp;dl=0" TargetMode="External"/><Relationship Id="rId304" Type="http://schemas.openxmlformats.org/officeDocument/2006/relationships/hyperlink" Target="https://www.dropbox.com/scl/fi/1ul9to46udy12ms3u1pj6/video-2.png?rlkey=i26tuzf0hgj4lvfxo2wp5bps3&amp;dl=0" TargetMode="External"/><Relationship Id="rId425" Type="http://schemas.openxmlformats.org/officeDocument/2006/relationships/hyperlink" Target="https://www.dropbox.com/scl/fo/rocv5qfq1efnv8fcpjy22/ADtE5nMFTiVLF7wrazBTfNY?rlkey=v4hdowyolemt218ba1k40s2zi&amp;st=i27if4no&amp;dl=0" TargetMode="External"/><Relationship Id="rId303" Type="http://schemas.openxmlformats.org/officeDocument/2006/relationships/hyperlink" Target="https://www.dropbox.com/scl/fi/vmwgu42thcddugjnax35z/THJAN28018Rev.mp4?rlkey=34xnn2nkue3u9bvf6ctojzqm4&amp;st=nyi7zjkj&amp;dl=0" TargetMode="External"/><Relationship Id="rId424" Type="http://schemas.openxmlformats.org/officeDocument/2006/relationships/hyperlink" Target="https://www.dropbox.com/scl/fi/4dqrb84mqf8b3nfqz8ziw/1925-north-ct-rd.png?rlkey=24bt5vd41tncb7pcpiiq60b03&amp;dl=0" TargetMode="External"/><Relationship Id="rId302" Type="http://schemas.openxmlformats.org/officeDocument/2006/relationships/hyperlink" Target="https://www.dropbox.com/scl/fo/ytsc4z4hbsfiya34qdyoq/AMGYDaslJrbneN4VXjFpof0?rlkey=i4pbtdi62oj5nxshhcghky3c7&amp;st=qd9ty9xj&amp;dl=0" TargetMode="External"/><Relationship Id="rId423" Type="http://schemas.openxmlformats.org/officeDocument/2006/relationships/hyperlink" Target="https://www.dropbox.com/scl/fo/nhrkr2lwv3vk7me6phyll/ACpo5XzKh9bubuPCYN1Ldk0?rlkey=077y0j0r2c9g4si5h5rzyndvl&amp;st=ib6s6n18&amp;dl=0" TargetMode="External"/><Relationship Id="rId309" Type="http://schemas.openxmlformats.org/officeDocument/2006/relationships/hyperlink" Target="https://www.dropbox.com/scl/fo/uv1efnldl7cc5v19sqc57/ADXVTdsKMEz126hR1amOg4s?rlkey=bg8al8u54b6xpd7l7dyq13pny&amp;dl=0" TargetMode="External"/><Relationship Id="rId308" Type="http://schemas.openxmlformats.org/officeDocument/2006/relationships/hyperlink" Target="https://www.dropbox.com/scl/fi/b6c0wdz54cflzvsu60kra/QUJAN29016Rev.mp4?rlkey=dlyfvkknpgh4y902j5f8co3rm&amp;st=0qmfhh8t&amp;dl=0" TargetMode="External"/><Relationship Id="rId429" Type="http://schemas.openxmlformats.org/officeDocument/2006/relationships/hyperlink" Target="https://www.dropbox.com/scl/fo/275wlh5yhezwvb5lrxcqd/AOGom1i2olCD9G7v-e-gcPY?rlkey=q0tap2u29uhqvs62bi4ri5rnu&amp;st=x0uk2fl7&amp;dl=0" TargetMode="External"/><Relationship Id="rId307" Type="http://schemas.openxmlformats.org/officeDocument/2006/relationships/hyperlink" Target="https://www.dropbox.com/scl/fo/uv1efnldl7cc5v19sqc57/ADXVTdsKMEz126hR1amOg4s?rlkey=bg8al8u54b6xpd7l7dyq13pny&amp;dl=0" TargetMode="External"/><Relationship Id="rId428" Type="http://schemas.openxmlformats.org/officeDocument/2006/relationships/hyperlink" Target="https://www.dropbox.com/scl/fo/dmajddjoqo6x185e49xv5/AJc7oYA-HWXVB6a3GqGCxec?rlkey=qhbryjrnkw819181x5cgu4vyy&amp;dl=0" TargetMode="External"/><Relationship Id="rId306" Type="http://schemas.openxmlformats.org/officeDocument/2006/relationships/hyperlink" Target="https://gemini.google.com/share/0d6187c82b25" TargetMode="External"/><Relationship Id="rId427" Type="http://schemas.openxmlformats.org/officeDocument/2006/relationships/hyperlink" Target="https://gemini.google.com/share/f532ee6a7bb1" TargetMode="External"/><Relationship Id="rId301" Type="http://schemas.openxmlformats.org/officeDocument/2006/relationships/hyperlink" Target="https://www.dropbox.com/scl/fo/76nbzhsjg685qjiyocc2v/AJDOGU_TmwvUoWXAvo-ANEw?rlkey=v3tybd819rdxoeiobtvunowts&amp;st=p2g5ctfg&amp;dl=0" TargetMode="External"/><Relationship Id="rId422" Type="http://schemas.openxmlformats.org/officeDocument/2006/relationships/hyperlink" Target="https://www.dropbox.com/scl/fo/gegp7x0gw2fu08x5tyg29/ABGLXzcGyDM2HUfb5YB0-O0?rlkey=192pqpxqbbdzlfd2xy6tjfwbf&amp;st=88o2qozd&amp;dl=0" TargetMode="External"/><Relationship Id="rId300" Type="http://schemas.openxmlformats.org/officeDocument/2006/relationships/hyperlink" Target="https://www.dropbox.com/scl/fo/qx80vtuci91b87ud3b8l6/ADLiJdt6VzQCdIStq4whYmI?rlkey=2w6y3iltcmaf4ny2sy885c5s5&amp;dl=0" TargetMode="External"/><Relationship Id="rId421" Type="http://schemas.openxmlformats.org/officeDocument/2006/relationships/hyperlink" Target="https://gemini.google.com/share/bd39e35b29d5" TargetMode="External"/><Relationship Id="rId420" Type="http://schemas.openxmlformats.org/officeDocument/2006/relationships/hyperlink" Target="https://www.dropbox.com/scl/fi/2drpd8luk4uoiydjywnbq/VADEC23003Rev.mp4?rlkey=b6kogd1r87queywt6pidjyjaf&amp;st=8wmjorx6&amp;dl=0" TargetMode="External"/><Relationship Id="rId415" Type="http://schemas.openxmlformats.org/officeDocument/2006/relationships/hyperlink" Target="https://www.dropbox.com/scl/fo/nvps1l3z4xp5wzbqjit4s/APExhS2RnrfiHMrE9Zs9ZzI?rlkey=wm13a7qvlilxqd97pwy2lo499&amp;dl=0" TargetMode="External"/><Relationship Id="rId414" Type="http://schemas.openxmlformats.org/officeDocument/2006/relationships/hyperlink" Target="https://www.dropbox.com/scl/fo/guoxplota9u803d2ec7d0/AFAt8RJNdtmb2G0dcZ_kIDs?rlkey=ehakz8fa1vmld7lxrla3mwme6&amp;st=eh1z0prq&amp;dl=0" TargetMode="External"/><Relationship Id="rId413" Type="http://schemas.openxmlformats.org/officeDocument/2006/relationships/hyperlink" Target="https://www.dropbox.com/scl/fo/sy0bsdfdmcbc1dgxhzfh8/AIaT1_A33OonmWupuXqXyp4?rlkey=fi100s1gf1ae6gyqaiv4lp7tw&amp;dl=0" TargetMode="External"/><Relationship Id="rId412" Type="http://schemas.openxmlformats.org/officeDocument/2006/relationships/hyperlink" Target="https://www.dropbox.com/scl/fo/bctnp9a5e28flssbwuak8/ACMmiHawbSqB6QYKWvs9AYU?rlkey=yvbffnc19q8zz12dxqisrdbjy&amp;st=xw0gt65g&amp;dl=0" TargetMode="External"/><Relationship Id="rId419" Type="http://schemas.openxmlformats.org/officeDocument/2006/relationships/hyperlink" Target="https://www.dropbox.com/scl/fo/q6xq1nf251wadyswvnyzd/AIX7IT-RwJr31o3RFtdrXn8?rlkey=4det6y3jyagdjbznxo24evrde&amp;dl=0" TargetMode="External"/><Relationship Id="rId418" Type="http://schemas.openxmlformats.org/officeDocument/2006/relationships/hyperlink" Target="https://www.dropbox.com/scl/fo/eoh1mragotvjepv7s2ftg/AK0OglztmaADa5ik0wdw41s?rlkey=3lxyo81zuj2sirihc51me5gje&amp;st=xobe71zt&amp;dl=0" TargetMode="External"/><Relationship Id="rId417" Type="http://schemas.openxmlformats.org/officeDocument/2006/relationships/hyperlink" Target="https://www.dropbox.com/scl/fo/dwlv1hb8fej4cf9jzg2b6/AN91NlM9URE36XzYurvqF4E?rlkey=tn6z02xzl608c06a9q9r5ie0i&amp;dl=0" TargetMode="External"/><Relationship Id="rId416" Type="http://schemas.openxmlformats.org/officeDocument/2006/relationships/hyperlink" Target="https://www.dropbox.com/scl/fo/40x5o7xefxtqa1nmyqqu7/AJ-WaA4JyFmD_gkWy4lsJRk?rlkey=zb6n64t9l9y5c6x6m9ol7ry8x&amp;st=bg9qj9va&amp;dl=0" TargetMode="External"/><Relationship Id="rId411" Type="http://schemas.openxmlformats.org/officeDocument/2006/relationships/hyperlink" Target="https://www.dropbox.com/scl/fo/yfeqz1b48y32n6ac5y2sz/ALDG0H8pTO16PT2Dvv9HO_s?rlkey=8wg7i8haizojwcb93obr8vstw&amp;dl=0" TargetMode="External"/><Relationship Id="rId410" Type="http://schemas.openxmlformats.org/officeDocument/2006/relationships/hyperlink" Target="https://www.dropbox.com/scl/fo/fr2lnym568akig957z72k/AEM8yex6SljiVCg-fKkQ9mE?rlkey=s0wtz7yfa66j37psht8caesv4&amp;st=mb87hi7y&amp;dl=0" TargetMode="External"/><Relationship Id="rId206" Type="http://schemas.openxmlformats.org/officeDocument/2006/relationships/hyperlink" Target="https://gemini.google.com/share/8b194af5558f" TargetMode="External"/><Relationship Id="rId327" Type="http://schemas.openxmlformats.org/officeDocument/2006/relationships/hyperlink" Target="https://www.dropbox.com/scl/fo/hnoi90w5v1r1r7f5js0lc/AEnM1hICmQgLkNeXmJWHBx0?rlkey=6egzvnsgb0cgw81q7hgngsw8c&amp;dl=0" TargetMode="External"/><Relationship Id="rId448" Type="http://schemas.openxmlformats.org/officeDocument/2006/relationships/hyperlink" Target="https://www.dropbox.com/scl/fo/nfp0hlrxgalnqdmags0ig/AJvS_bkKaudc-R48UJB7DQY?rlkey=84nvsgqczdoab23zle2r7ht6e&amp;dl=0" TargetMode="External"/><Relationship Id="rId205" Type="http://schemas.openxmlformats.org/officeDocument/2006/relationships/hyperlink" Target="https://www.dropbox.com/scl/fo/ba6nvafar1br5iu4vhjzh/ADiyEgccEmbXrTh43tL3R8c?rlkey=ei5kvk9ibl20fj6hwgr1i10kh&amp;st=xxtongqc&amp;dl=0" TargetMode="External"/><Relationship Id="rId326" Type="http://schemas.openxmlformats.org/officeDocument/2006/relationships/hyperlink" Target="https://www.dropbox.com/scl/fo/9a6e8xegl1nu33tx0f2ea/AEU9JfFFh_VN74jmfc8LMeM?rlkey=e3yuxgiv6wc5tbf9r02mb0tdh&amp;st=sch9y8qd&amp;dl=0" TargetMode="External"/><Relationship Id="rId447" Type="http://schemas.openxmlformats.org/officeDocument/2006/relationships/hyperlink" Target="https://www.dropbox.com/scl/fi/es88je1dgqt8e8s0q0wa7/DUDEC01003.mp4?rlkey=yvn3x5wld9xnrgwt32bwqy9ac&amp;st=9bjmdzn8&amp;dl=0" TargetMode="External"/><Relationship Id="rId204" Type="http://schemas.openxmlformats.org/officeDocument/2006/relationships/hyperlink" Target="https://www.dropbox.com/scl/fo/pugcvfges25qwu9oc72f0/AKOqM7vRtsgsOqycsuxm3xw?rlkey=25obtmzjwqbnisv0esrtx0wl0&amp;dl=0" TargetMode="External"/><Relationship Id="rId325" Type="http://schemas.openxmlformats.org/officeDocument/2006/relationships/hyperlink" Target="https://www.dropbox.com/scl/fo/oasp0lr80jtxx5wloftih/AHQ05BEg6w2qvjfUGzgY7bA?rlkey=ezh90bho7sbp8b9m49lop4m97&amp;dl=0" TargetMode="External"/><Relationship Id="rId446" Type="http://schemas.openxmlformats.org/officeDocument/2006/relationships/hyperlink" Target="https://www.dropbox.com/scl/fo/nfp0hlrxgalnqdmags0ig/AJvS_bkKaudc-R48UJB7DQY?rlkey=84nvsgqczdoab23zle2r7ht6e&amp;dl=0" TargetMode="External"/><Relationship Id="rId203" Type="http://schemas.openxmlformats.org/officeDocument/2006/relationships/hyperlink" Target="https://www.dropbox.com/scl/fo/ip609lrz5kb5xo8692ejv/AA0H1psSUxVSK9zzst_O40c?rlkey=yqdig2f4nve7ded4ojbqpes8f&amp;st=c21onj8e&amp;dl=0" TargetMode="External"/><Relationship Id="rId324" Type="http://schemas.openxmlformats.org/officeDocument/2006/relationships/hyperlink" Target="https://www.dropbox.com/scl/fo/8p4xp0c0evlunb3lypktk/AKOHr-djBxCBKWbY44ZgmcE?rlkey=8vsae9446c2irvmv6uxwl3gn0&amp;st=8vj41xkd&amp;dl=0" TargetMode="External"/><Relationship Id="rId445" Type="http://schemas.openxmlformats.org/officeDocument/2006/relationships/hyperlink" Target="https://www.dropbox.com/scl/fi/wiukyxwo4y4yrqi2d7lp9/QUJAN310010.mp4?rlkey=9y4oxymolxq3ewk858sbtyh4l&amp;st=v7ruwxbg&amp;dl=0" TargetMode="External"/><Relationship Id="rId209" Type="http://schemas.openxmlformats.org/officeDocument/2006/relationships/hyperlink" Target="https://www.dropbox.com/scl/fo/4sethb0tiu45lvwzudid6/AChZeIlvgjEvFkIOJWVzuGc?rlkey=rwocrlcpercbjwonpu9v2m8dd&amp;dl=0" TargetMode="External"/><Relationship Id="rId208" Type="http://schemas.openxmlformats.org/officeDocument/2006/relationships/hyperlink" Target="https://www.dropbox.com/scl/fo/q3y4dzfr8t7oukb5rmbtt/APO_2lb6akBWESu039vG4fA?rlkey=o6povrzpl91y2yi4zx9eu8mxl&amp;st=du7eby8k&amp;dl=0" TargetMode="External"/><Relationship Id="rId329" Type="http://schemas.openxmlformats.org/officeDocument/2006/relationships/hyperlink" Target="https://gemini.google.com/share/b4c2a52eed57" TargetMode="External"/><Relationship Id="rId207" Type="http://schemas.openxmlformats.org/officeDocument/2006/relationships/hyperlink" Target="https://www.dropbox.com/scl/fo/dgp8zvoqttkorq7n6b384/AASkxU8pNQ5I9XjrgPHQtWY?rlkey=xni48s1l5pnzuwdgrdqfxngj6&amp;st=naundskl&amp;dl=0" TargetMode="External"/><Relationship Id="rId328" Type="http://schemas.openxmlformats.org/officeDocument/2006/relationships/hyperlink" Target="https://www.dropbox.com/scl/fi/53yv2mo5l3lmh220naprr/NHFEB03007-1.mp4?rlkey=s69vjm6als2zurg7kheusxxsk&amp;st=6hudrh6y&amp;dl=0" TargetMode="External"/><Relationship Id="rId449" Type="http://schemas.openxmlformats.org/officeDocument/2006/relationships/hyperlink" Target="https://www.dropbox.com/scl/fi/pkt7f97du9w0eikdq79gg/DUDEC01003Rev.mp4?rlkey=omtlz8d7yqv6zshuz7jxankrc&amp;st=816q1ehl&amp;dl=0" TargetMode="External"/><Relationship Id="rId440" Type="http://schemas.openxmlformats.org/officeDocument/2006/relationships/hyperlink" Target="https://www.dropbox.com/scl/fi/j5vm260cope7si8rpfxtq/THJAN30039.mp4?rlkey=scx42ubhufq7xroo78t7kf8c5&amp;st=u6mkecyk&amp;dl=0" TargetMode="External"/><Relationship Id="rId202" Type="http://schemas.openxmlformats.org/officeDocument/2006/relationships/hyperlink" Target="https://www.dropbox.com/scl/fo/uwtdayh77ziu45hy71iz4/AB0_UADH7OMVqMRaq9TPJ9A?rlkey=z9awj1g1x3vnw8ntusu6bnpzs&amp;dl=0" TargetMode="External"/><Relationship Id="rId323" Type="http://schemas.openxmlformats.org/officeDocument/2006/relationships/hyperlink" Target="https://www.dropbox.com/scl/fo/f8o8rlh46dkv9o1drb30h/ABUIllQlhgAibeg4lT5It1Q?rlkey=11dtja4m0r6xitrvchrx8cnz9&amp;st=jexg1xdl&amp;dl=0" TargetMode="External"/><Relationship Id="rId444" Type="http://schemas.openxmlformats.org/officeDocument/2006/relationships/hyperlink" Target="https://www.dropbox.com/scl/fo/ut9g6v9qkz3skf932xa69/AJJz-AtAS4CvbaCQM1v1C2I?rlkey=8nl89jrh3lkbk3s3z9qnbbxu0&amp;dl=0" TargetMode="External"/><Relationship Id="rId201" Type="http://schemas.openxmlformats.org/officeDocument/2006/relationships/hyperlink" Target="https://gemini.google.com/share/0877e1aad7c2" TargetMode="External"/><Relationship Id="rId322" Type="http://schemas.openxmlformats.org/officeDocument/2006/relationships/hyperlink" Target="https://gemini.google.com/share/302628a6bdd0" TargetMode="External"/><Relationship Id="rId443" Type="http://schemas.openxmlformats.org/officeDocument/2006/relationships/hyperlink" Target="https://www.dropbox.com/scl/fi/9f07snt5fw1izakzn5i89/QUJAN31001.mp4?rlkey=0e7uij31iogca0svfj5amja63&amp;st=ef33hruz&amp;dl=0" TargetMode="External"/><Relationship Id="rId200" Type="http://schemas.openxmlformats.org/officeDocument/2006/relationships/hyperlink" Target="https://www.dropbox.com/scl/fi/3bdzc2b6zz3ehz505zvql/TADEC31004Rev3.mp4?rlkey=c4cl1hdhh5vicbjsbn3shwuka&amp;st=u535zvgd&amp;dl=0" TargetMode="External"/><Relationship Id="rId321" Type="http://schemas.openxmlformats.org/officeDocument/2006/relationships/hyperlink" Target="https://www.dropbox.com/scl/fi/dttghjjyju39fhvkqm9ju/CAFEB02005-1.mp4?rlkey=kwv3yk55dxvv7ikgcm4cb2jq6&amp;st=59zfuv3n&amp;dl=0" TargetMode="External"/><Relationship Id="rId442" Type="http://schemas.openxmlformats.org/officeDocument/2006/relationships/hyperlink" Target="https://www.dropbox.com/scl/fo/ptglk1r25t51b52svcjx7/AF0mQzjssLHLSE69BrmlT-Y?rlkey=sg3zqws0uruujbzyob7502zgh&amp;st=zq34ikgo&amp;dl=0" TargetMode="External"/><Relationship Id="rId320" Type="http://schemas.openxmlformats.org/officeDocument/2006/relationships/hyperlink" Target="https://www.dropbox.com/scl/fo/jgr9r329fum2iblaaoota/AIp3vt2RaqN7kALwXGIiZnw?rlkey=pbioaa3re44mo3yg4rtpi8vem&amp;dl=0" TargetMode="External"/><Relationship Id="rId441" Type="http://schemas.openxmlformats.org/officeDocument/2006/relationships/hyperlink" Target="https://gemini.google.com/share/7d3abde5c141" TargetMode="External"/><Relationship Id="rId316" Type="http://schemas.openxmlformats.org/officeDocument/2006/relationships/hyperlink" Target="https://www.dropbox.com/scl/fo/kdhwsxjs2fonm1f9at2wx/AL90B05BuwiJaYvfjcK1Y7I?rlkey=8wkr8w9bhml89guto8mn51407&amp;st=j88xjnlz&amp;dl=0" TargetMode="External"/><Relationship Id="rId437" Type="http://schemas.openxmlformats.org/officeDocument/2006/relationships/hyperlink" Target="https://www.dropbox.com/scl/fo/sgcw6rlccs7o7mja7tz6o/AD1x9mbSFtk7MT8OmhTaCnY?rlkey=jy5p50v1u5wivaz0sch7xpdot&amp;dl=0" TargetMode="External"/><Relationship Id="rId315" Type="http://schemas.openxmlformats.org/officeDocument/2006/relationships/hyperlink" Target="https://www.dropbox.com/scl/fi/r8dnjtqsli5ndu8grhb7z/NHJAN30018Rev.mp4?rlkey=uyx7qjx95k5bgdtlccg5srm3m&amp;st=2vtkrzz7&amp;dl=0" TargetMode="External"/><Relationship Id="rId436" Type="http://schemas.openxmlformats.org/officeDocument/2006/relationships/hyperlink" Target="https://gemini.google.com/share/fd272387be00" TargetMode="External"/><Relationship Id="rId314" Type="http://schemas.openxmlformats.org/officeDocument/2006/relationships/hyperlink" Target="https://www.dropbox.com/scl/fo/ntvw8ci1qwzbpfcdl7vdp/AAtONorT_5srl7LMqbpeVIc?rlkey=eziw3ilx3vnyh0f991t775bf2&amp;dl=0" TargetMode="External"/><Relationship Id="rId435" Type="http://schemas.openxmlformats.org/officeDocument/2006/relationships/hyperlink" Target="https://www.dropbox.com/scl/fi/vy4a5br00rsr6te4abr30/TAJAN28010Rev.mp4?rlkey=cjoaaexzanwpnfn20amxr6ax2&amp;st=6pbrr850&amp;dl=0" TargetMode="External"/><Relationship Id="rId313" Type="http://schemas.openxmlformats.org/officeDocument/2006/relationships/hyperlink" Target="https://www.dropbox.com/scl/fo/iq76u7dogtly2m91f6wt4/AJjkYn_qJdyvqqooU5icNgw?rlkey=kj547az8ygv70ghinom1qqq3j&amp;st=lyk3671h&amp;dl=0" TargetMode="External"/><Relationship Id="rId434" Type="http://schemas.openxmlformats.org/officeDocument/2006/relationships/hyperlink" Target="https://www.dropbox.com/scl/fo/1wp4ahs2xpi11mxr3p2kj/AHJZyknFYJbZKKvbK3_dnUw?rlkey=g1k1rbcbhaxyskwtai1soc2kc&amp;dl=0" TargetMode="External"/><Relationship Id="rId319" Type="http://schemas.openxmlformats.org/officeDocument/2006/relationships/hyperlink" Target="https://www.dropbox.com/scl/fo/r015dgl4lxom9yvc5avx2/AIOQpLMDwNsr_6F2mZgK7jU?rlkey=9qoo6am4hjrjp160abso5mz7s&amp;st=wzed45zq&amp;dl=0" TargetMode="External"/><Relationship Id="rId318" Type="http://schemas.openxmlformats.org/officeDocument/2006/relationships/hyperlink" Target="https://www.dropbox.com/scl/fo/kl70xv0360iv56avbcabx/ACsRJri-cEClO33Q_r5I7YA?rlkey=5u9ufhc1s4w01h6td4cy0k350&amp;dl=0" TargetMode="External"/><Relationship Id="rId439" Type="http://schemas.openxmlformats.org/officeDocument/2006/relationships/hyperlink" Target="https://www.dropbox.com/scl/fo/ng3bx4mv6wtdh40j8uw7o/AFok1oEdgmJF3fcunMxxiaY?rlkey=iadq9cmm6bqum53333sux5v9a&amp;dl=0" TargetMode="External"/><Relationship Id="rId317" Type="http://schemas.openxmlformats.org/officeDocument/2006/relationships/hyperlink" Target="https://www.dropbox.com/scl/fo/kyxjoflaus70rpgpf2l7z/APmnVcEpAvlMO1ilHaumsos?rlkey=w5o87eqjxkgk31u6m28l9narg&amp;st=fsadgxhc&amp;dl=0" TargetMode="External"/><Relationship Id="rId438" Type="http://schemas.openxmlformats.org/officeDocument/2006/relationships/hyperlink" Target="https://www.dropbox.com/scl/fo/xpp5lrpkws659bqe025wf/AKfKUyBNtDTOXGClT8nyoFk?rlkey=okgs1v159740885nzdha9ioo4&amp;st=xb818jur&amp;dl=0" TargetMode="External"/><Relationship Id="rId312" Type="http://schemas.openxmlformats.org/officeDocument/2006/relationships/hyperlink" Target="https://www.dropbox.com/scl/fo/qq2cx3upa7u9w3btcb76f/AAEewrA3pCnrKoOTA8eK3ek?rlkey=q3ldpo0fm5718sg9haxkv7rsl&amp;dl=0" TargetMode="External"/><Relationship Id="rId433" Type="http://schemas.openxmlformats.org/officeDocument/2006/relationships/hyperlink" Target="https://www.dropbox.com/scl/fi/0iwo2syovx0jpa0h20x6a/NHJAN28017.mp4?rlkey=p0ggpbqz36cdgvzmow618q85s&amp;st=d12asopm&amp;dl=0" TargetMode="External"/><Relationship Id="rId311" Type="http://schemas.openxmlformats.org/officeDocument/2006/relationships/hyperlink" Target="https://gemini.google.com/share/2e434264a5e4" TargetMode="External"/><Relationship Id="rId432" Type="http://schemas.openxmlformats.org/officeDocument/2006/relationships/hyperlink" Target="https://www.dropbox.com/scl/fo/av8bfdm0074zsew21hmrh/AF-h-JaBY728TWlVv7RPr9k?rlkey=aycs1ffgyu7b6eoasl19ui2gg&amp;dl=0" TargetMode="External"/><Relationship Id="rId310" Type="http://schemas.openxmlformats.org/officeDocument/2006/relationships/hyperlink" Target="https://www.dropbox.com/scl/fi/dt8lu8njj9qi371kmh0c9/QUJAN29016Rev2.mp4?rlkey=g8jz2zwbp12i9oqotrkw46esq&amp;st=w5rk2lo6&amp;dl=0" TargetMode="External"/><Relationship Id="rId431" Type="http://schemas.openxmlformats.org/officeDocument/2006/relationships/hyperlink" Target="https://www.dropbox.com/scl/fi/zg877h4ctxo0d6nohj22t/HTJAN25004Rev.mp4?rlkey=x27055qcr0jdxzj6tqkho5bf7&amp;st=4fpc2z1a&amp;dl=0" TargetMode="External"/><Relationship Id="rId430" Type="http://schemas.openxmlformats.org/officeDocument/2006/relationships/hyperlink" Target="https://www.dropbox.com/scl/fo/v4ab3t4uxqmcqx7ihy6e1/AFWtmK7AXQMHNJT49qK6tU0?rlkey=q4653iuvh5yoyhdgzcnedz9o3&amp;dl=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13"/>
    <col customWidth="1" min="2" max="2" width="20.25"/>
    <col customWidth="1" min="3" max="3" width="48.5"/>
    <col customWidth="1" min="4" max="4" width="18.5"/>
    <col customWidth="1" min="5" max="5" width="37.5"/>
    <col customWidth="1" min="11" max="11" width="37.88"/>
    <col customWidth="1" min="12" max="12" width="95.5"/>
  </cols>
  <sheetData>
    <row r="1">
      <c r="A1" s="1" t="str">
        <f>IFERROR(__xludf.DUMMYFUNCTION("IMPORTRANGE(""https://docs.google.com/spreadsheets/d/1gkw3jcN5ulyuGH7wjEFoeA7cxp_SoGQ1Ayq0Y-EJCao/edit?usp=sharing"",""Trang tính1!A:H"")"),"Job code")</f>
        <v>Job code</v>
      </c>
      <c r="B1" s="2" t="str">
        <f>IFERROR(__xludf.DUMMYFUNCTION("""COMPUTED_VALUE"""),"Input")</f>
        <v>Input</v>
      </c>
      <c r="C1" s="3" t="str">
        <f>IFERROR(__xludf.DUMMYFUNCTION("""COMPUTED_VALUE"""),"Sample &amp; Tên AI Effect")</f>
        <v>Sample &amp; Tên AI Effect</v>
      </c>
      <c r="D1" s="2" t="str">
        <f>IFERROR(__xludf.DUMMYFUNCTION("""COMPUTED_VALUE"""),"Output")</f>
        <v>Output</v>
      </c>
      <c r="E1" s="3" t="str">
        <f>IFERROR(__xludf.DUMMYFUNCTION("""COMPUTED_VALUE"""),"Feedback Khách hoặc Sale (nếu có)")</f>
        <v>Feedback Khách hoặc Sale (nếu có)</v>
      </c>
      <c r="F1" s="4"/>
      <c r="G1" s="5" t="str">
        <f>IFERROR(__xludf.DUMMYFUNCTION("""COMPUTED_VALUE"""),"AI check lại")</f>
        <v>AI check lại</v>
      </c>
      <c r="H1" s="4"/>
      <c r="I1" s="5" t="s">
        <v>0</v>
      </c>
      <c r="J1" s="5" t="s">
        <v>1</v>
      </c>
      <c r="K1" s="5" t="s">
        <v>2</v>
      </c>
      <c r="L1" s="5" t="s">
        <v>3</v>
      </c>
    </row>
    <row r="2">
      <c r="A2" s="6" t="str">
        <f>IFERROR(__xludf.DUMMYFUNCTION("""COMPUTED_VALUE"""),"TLNOV14022rev4")</f>
        <v>TLNOV14022rev4</v>
      </c>
      <c r="B2" s="7" t="str">
        <f>IFERROR(__xludf.DUMMYFUNCTION("""COMPUTED_VALUE"""),"https://www.dropbox.com/scl/fo/cniq4l2jhuf9wfdbvxiug/ABUFwFNHfYrPOLvWIWB0WQ4?rlkey=41t1e6teuc2mvgf88h2mgoucu&amp;dl=0")</f>
        <v>https://www.dropbox.com/scl/fo/cniq4l2jhuf9wfdbvxiug/ABUFwFNHfYrPOLvWIWB0WQ4?rlkey=41t1e6teuc2mvgf88h2mgoucu&amp;dl=0</v>
      </c>
      <c r="C2" s="8" t="str">
        <f>IFERROR(__xludf.DUMMYFUNCTION("""COMPUTED_VALUE"""),"Tuần lộc ông già noel bay trên mái nhà")</f>
        <v>Tuần lộc ông già noel bay trên mái nhà</v>
      </c>
      <c r="D2" s="9" t="str">
        <f>IFERROR(__xludf.DUMMYFUNCTION("""COMPUTED_VALUE"""),"https://www.dropbox.com/scl/fi/leh7g96adkvmp03agauz1/TLNOV14022rev4.mp4?e=1&amp;fbclid=IwY2xjawPkBBhleHRuA2FlbQIxMABicmlkETF6N0xvdUY5WFRZTTlKQ0hQc3J0YwZhcHBfaWQQMjIyMDM5MTc4ODIwMDg5MgABHsELrkXlPHdHvFstD-gMp7IS0ZfArkoZaxPABfMq0eh2YmwPXhL8Q-xGOxtP_aem_1tbEu_PXq"&amp;"Sztwk0nBwZz9g&amp;rlkey=9fvcko85jnstyrbtfdn66culp&amp;st=vjxytlze&amp;dl=0")</f>
        <v>https://www.dropbox.com/scl/fi/leh7g96adkvmp03agauz1/TLNOV14022rev4.mp4?e=1&amp;fbclid=IwY2xjawPkBBhleHRuA2FlbQIxMABicmlkETF6N0xvdUY5WFRZTTlKQ0hQc3J0YwZhcHBfaWQQMjIyMDM5MTc4ODIwMDg5MgABHsELrkXlPHdHvFstD-gMp7IS0ZfArkoZaxPABfMq0eh2YmwPXhL8Q-xGOxtP_aem_1tbEu_PXqSztwk0nBwZz9g&amp;rlkey=9fvcko85jnstyrbtfdn66culp&amp;st=vjxytlze&amp;dl=0</v>
      </c>
      <c r="E2" s="10" t="str">
        <f>IFERROR(__xludf.DUMMYFUNCTION("""COMPUTED_VALUE"""),"
why does one of the reindeer move away from the others so that it's behind the sleigh? Can that please be corrected? It looks out of place.")</f>
        <v>
why does one of the reindeer move away from the others so that it's behind the sleigh? Can that please be corrected? It looks out of place.</v>
      </c>
      <c r="F2" s="8" t="str">
        <f>IFERROR(__xludf.DUMMYFUNCTION("""COMPUTED_VALUE"""),"v")</f>
        <v>v</v>
      </c>
      <c r="G2" s="10"/>
      <c r="H2" s="10"/>
      <c r="I2" s="10"/>
      <c r="J2" s="10"/>
      <c r="K2" s="10"/>
      <c r="L2" s="10"/>
    </row>
    <row r="3">
      <c r="A3" s="6" t="str">
        <f>IFERROR(__xludf.DUMMYFUNCTION("""COMPUTED_VALUE"""),"TADEC31004")</f>
        <v>TADEC31004</v>
      </c>
      <c r="B3" s="7" t="str">
        <f>IFERROR(__xludf.DUMMYFUNCTION("""COMPUTED_VALUE"""),"https://www.dropbox.com/scl/fo/65xh5pk32ov01bk541pa1/AEjCDsU4HSwJGgazVHN9ZFY?rlkey=qicc5qz8q5a4ysmvostw7audk&amp;e=1&amp;dl=0")</f>
        <v>https://www.dropbox.com/scl/fo/65xh5pk32ov01bk541pa1/AEjCDsU4HSwJGgazVHN9ZFY?rlkey=qicc5qz8q5a4ysmvostw7audk&amp;e=1&amp;dl=0</v>
      </c>
      <c r="C3" s="8" t="str">
        <f>IFERROR(__xludf.DUMMYFUNCTION("""COMPUTED_VALUE"""),"AI 4 mùa")</f>
        <v>AI 4 mùa</v>
      </c>
      <c r="D3" s="7" t="str">
        <f>IFERROR(__xludf.DUMMYFUNCTION("""COMPUTED_VALUE"""),"https://www.dropbox.com/scl/fi/xm3hrq0acgcn1hwkezy79/TADEC31004.mp4?e=1&amp;fbclid=IwY2xjawPkBbJleHRuA2FlbQIxMABicmlkETF6N0xvdUY5WFRZTTlKQ0hQc3J0YwZhcHBfaWQQMjIyMDM5MTc4ODIwMDg5MgABHsELrkXlPHdHvFstD-gMp7IS0ZfArkoZaxPABfMq0eh2YmwPXhL8Q-xGOxtP_aem_1tbEu_PXqSztw"&amp;"k0nBwZz9g&amp;rlkey=psagvqh9gss6tz9gr79ru8qt4&amp;st=ucgzbm5f&amp;dl=0")</f>
        <v>https://www.dropbox.com/scl/fi/xm3hrq0acgcn1hwkezy79/TADEC31004.mp4?e=1&amp;fbclid=IwY2xjawPkBbJleHRuA2FlbQIxMABicmlkETF6N0xvdUY5WFRZTTlKQ0hQc3J0YwZhcHBfaWQQMjIyMDM5MTc4ODIwMDg5MgABHsELrkXlPHdHvFstD-gMp7IS0ZfArkoZaxPABfMq0eh2YmwPXhL8Q-xGOxtP_aem_1tbEu_PXqSztwk0nBwZz9g&amp;rlkey=psagvqh9gss6tz9gr79ru8qt4&amp;st=ucgzbm5f&amp;dl=0</v>
      </c>
      <c r="E3" s="8" t="str">
        <f>IFERROR(__xludf.DUMMYFUNCTION("""COMPUTED_VALUE"""),"For the AI transition, we don't get snow here so as stated we were wanting it to go from its current condition into the spring look.. Not the snow into spring")</f>
        <v>For the AI transition, we don't get snow here so as stated we were wanting it to go from its current condition into the spring look.. Not the snow into spring</v>
      </c>
      <c r="F3" s="10"/>
      <c r="G3" s="10"/>
      <c r="H3" s="10"/>
      <c r="I3" s="8" t="s">
        <v>4</v>
      </c>
      <c r="J3" s="8" t="s">
        <v>5</v>
      </c>
      <c r="K3" s="8" t="s">
        <v>6</v>
      </c>
      <c r="L3" s="8" t="s">
        <v>7</v>
      </c>
    </row>
    <row r="4">
      <c r="A4" s="6" t="str">
        <f>IFERROR(__xludf.DUMMYFUNCTION("""COMPUTED_VALUE"""),"DUJAN04005")</f>
        <v>DUJAN04005</v>
      </c>
      <c r="B4" s="7" t="str">
        <f>IFERROR(__xludf.DUMMYFUNCTION("""COMPUTED_VALUE"""),"https://www.dropbox.com/scl/fo/67xzml9bnzctxlswhte9i/AFb3qguqBYXGxF2P4Fvucqo?rlkey=6cdngcpwderr8nw3lndjsvqbu&amp;st=xloz5kxa&amp;dl=0")</f>
        <v>https://www.dropbox.com/scl/fo/67xzml9bnzctxlswhte9i/AFb3qguqBYXGxF2P4Fvucqo?rlkey=6cdngcpwderr8nw3lndjsvqbu&amp;st=xloz5kxa&amp;dl=0</v>
      </c>
      <c r="C4" s="8" t="str">
        <f>IFERROR(__xludf.DUMMYFUNCTION("""COMPUTED_VALUE"""),"tạo nước bên trong cái bể nước")</f>
        <v>tạo nước bên trong cái bể nước</v>
      </c>
      <c r="D4" s="9" t="str">
        <f>IFERROR(__xludf.DUMMYFUNCTION("""COMPUTED_VALUE"""),"https://www.dropbox.com/scl/fi/0pyitx4rup935kxaxn1iy/DUJAN04005.mp4?rlkey=dvg11lcxs7w8x0qma4fon8fk2&amp;st=abwhmr6x&amp;dl=0")</f>
        <v>https://www.dropbox.com/scl/fi/0pyitx4rup935kxaxn1iy/DUJAN04005.mp4?rlkey=dvg11lcxs7w8x0qma4fon8fk2&amp;st=abwhmr6x&amp;dl=0</v>
      </c>
      <c r="E4" s="8" t="str">
        <f>IFERROR(__xludf.DUMMYFUNCTION("""COMPUTED_VALUE"""),"even here -that's pretty clear at the top of the barrel or whatever it is. 
I don't want to be difficult - But I'm not going to pay for it, when it is clear. If I was creating that - I would use the actual fountain pieces vs. randomness out of the side.
"&amp;"It's pretty clear in the image where the water should come from - so that's not really okay?
It's a fountain - you can see that's where the water should come from - I didn't know that would need to be indicated when it's obvious in the video?
where "&amp;"exactly is the water coming from now? just radomly out of nowhere?
")</f>
        <v>even here -that's pretty clear at the top of the barrel or whatever it is. 
I don't want to be difficult - But I'm not going to pay for it, when it is clear. If I was creating that - I would use the actual fountain pieces vs. randomness out of the side.
It's pretty clear in the image where the water should come from - so that's not really okay?
It's a fountain - you can see that's where the water should come from - I didn't know that would need to be indicated when it's obvious in the video?
where exactly is the water coming from now? just radomly out of nowhere?
</v>
      </c>
      <c r="F4" s="10"/>
      <c r="G4" s="10"/>
      <c r="H4" s="10"/>
      <c r="I4" s="8" t="s">
        <v>8</v>
      </c>
      <c r="J4" s="11" t="s">
        <v>9</v>
      </c>
      <c r="K4" s="8" t="s">
        <v>10</v>
      </c>
      <c r="L4" s="8" t="s">
        <v>11</v>
      </c>
    </row>
    <row r="5">
      <c r="A5" s="6" t="str">
        <f>IFERROR(__xludf.DUMMYFUNCTION("""COMPUTED_VALUE"""),"HTJAN15008Rev")</f>
        <v>HTJAN15008Rev</v>
      </c>
      <c r="B5" s="7" t="str">
        <f>IFERROR(__xludf.DUMMYFUNCTION("""COMPUTED_VALUE"""),"https://www.dropbox.com/scl/fo/xm9k0mr4y4pqjqltow5xx/ANXgR7aFuGuuA29SZmiKt94?rlkey=vdiof00ngsui4ikmo6ol6pika&amp;dl=0")</f>
        <v>https://www.dropbox.com/scl/fo/xm9k0mr4y4pqjqltow5xx/ANXgR7aFuGuuA29SZmiKt94?rlkey=vdiof00ngsui4ikmo6ol6pika&amp;dl=0</v>
      </c>
      <c r="C5" s="8" t="str">
        <f>IFERROR(__xludf.DUMMYFUNCTION("""COMPUTED_VALUE"""),"On 0:15 I asked to have the AI characters preparing dinner")</f>
        <v>On 0:15 I asked to have the AI characters preparing dinner</v>
      </c>
      <c r="D5" s="7" t="str">
        <f>IFERROR(__xludf.DUMMYFUNCTION("""COMPUTED_VALUE"""),"https://www.dropbox.com/scl/fi/wgpftnq7226yov8ettklu/HTJAN15008Rev.mp4?rlkey=hbznhs5aqoqnn7b74cart93m4&amp;st=vqutk7oi&amp;dl=0")</f>
        <v>https://www.dropbox.com/scl/fi/wgpftnq7226yov8ettklu/HTJAN15008Rev.mp4?rlkey=hbznhs5aqoqnn7b74cart93m4&amp;st=vqutk7oi&amp;dl=0</v>
      </c>
      <c r="E5" s="8" t="str">
        <f>IFERROR(__xludf.DUMMYFUNCTION("""COMPUTED_VALUE"""),"Khách ghi là preparing dinner mà. Chuẩn bị thì phải có người chứ, nó là động từ rồi còn đâu. Nếu chỉ cần bàn ăn với đồ ăn thì đã viết là dinner with food rồi")</f>
        <v>Khách ghi là preparing dinner mà. Chuẩn bị thì phải có người chứ, nó là động từ rồi còn đâu. Nếu chỉ cần bàn ăn với đồ ăn thì đã viết là dinner with food rồi</v>
      </c>
      <c r="F5" s="10"/>
      <c r="G5" s="10"/>
      <c r="H5" s="10"/>
      <c r="I5" s="10"/>
      <c r="J5" s="10"/>
      <c r="K5" s="10"/>
      <c r="L5" s="10"/>
    </row>
    <row r="6">
      <c r="A6" s="10" t="str">
        <f>IFERROR(__xludf.DUMMYFUNCTION("""COMPUTED_VALUE"""),"THJAN20030Rev")</f>
        <v>THJAN20030Rev</v>
      </c>
      <c r="B6" s="9" t="str">
        <f>IFERROR(__xludf.DUMMYFUNCTION("""COMPUTED_VALUE"""),"https://www.dropbox.com/scl/fo/k53k4rr7ew5js1ts6tt7l/AEIJxv2wTLou1Im8BBKVB7o?rlkey=0g8c4rsna7c0lkoezn2ovd7hx&amp;dl=0")</f>
        <v>https://www.dropbox.com/scl/fo/k53k4rr7ew5js1ts6tt7l/AEIJxv2wTLou1Im8BBKVB7o?rlkey=0g8c4rsna7c0lkoezn2ovd7hx&amp;dl=0</v>
      </c>
      <c r="C6" s="8" t="str">
        <f>IFERROR(__xludf.DUMMYFUNCTION("""COMPUTED_VALUE"""),"Đổi tất cả 6 ảnh thành trời xanh đẹp")</f>
        <v>Đổi tất cả 6 ảnh thành trời xanh đẹp</v>
      </c>
      <c r="D6" s="9" t="str">
        <f>IFERROR(__xludf.DUMMYFUNCTION("""COMPUTED_VALUE"""),"https://www.dropbox.com/scl/fo/4620rg7zdsgn127xg2e4j/AMEEPfiilfxqRVeDv20oumA?rlkey=4vas5uymc60tqk152dsi1vonu&amp;st=vdisf3ld&amp;dl=0")</f>
        <v>https://www.dropbox.com/scl/fo/4620rg7zdsgn127xg2e4j/AMEEPfiilfxqRVeDv20oumA?rlkey=4vas5uymc60tqk152dsi1vonu&amp;st=vdisf3ld&amp;dl=0</v>
      </c>
      <c r="E6" s="8" t="str">
        <f>IFERROR(__xludf.DUMMYFUNCTION("""COMPUTED_VALUE"""),"AI thay trời xanh đẹp (mấy ai trời đang ở dạng tĩnh, khách muốn kiểu thực tế hơn)
làm như cái ảnh xong ycau tính phí khách mới?")</f>
        <v>AI thay trời xanh đẹp (mấy ai trời đang ở dạng tĩnh, khách muốn kiểu thực tế hơn)
làm như cái ảnh xong ycau tính phí khách mới?</v>
      </c>
      <c r="F6" s="8" t="str">
        <f>IFERROR(__xludf.DUMMYFUNCTION("""COMPUTED_VALUE"""),"v")</f>
        <v>v</v>
      </c>
      <c r="G6" s="10" t="str">
        <f>IFERROR(__xludf.DUMMYFUNCTION("""COMPUTED_VALUE"""),"Ghi nhận")</f>
        <v>Ghi nhận</v>
      </c>
      <c r="H6" s="10" t="str">
        <f>IFERROR(__xludf.DUMMYFUNCTION("""COMPUTED_VALUE"""),"Không đạt chất lượng, như ảnh tĩnh rồi zoom vào")</f>
        <v>Không đạt chất lượng, như ảnh tĩnh rồi zoom vào</v>
      </c>
      <c r="I6" s="10"/>
      <c r="J6" s="10"/>
      <c r="K6" s="10"/>
      <c r="L6" s="10"/>
    </row>
    <row r="7">
      <c r="A7" s="6" t="str">
        <f>IFERROR(__xludf.DUMMYFUNCTION("""COMPUTED_VALUE"""),"QUJAN16003")</f>
        <v>QUJAN16003</v>
      </c>
      <c r="B7" s="7" t="str">
        <f>IFERROR(__xludf.DUMMYFUNCTION("""COMPUTED_VALUE"""),"https://www.dropbox.com/scl/fi/g1ojxpz1wypq38bv1ofc2/AI-agent-ng-xu-ng-b-b-i.jpg?rlkey=41rqzwr0p2r9iskk371jzgaws&amp;st=ed4418z8&amp;dl=0")</f>
        <v>https://www.dropbox.com/scl/fi/g1ojxpz1wypq38bv1ofc2/AI-agent-ng-xu-ng-b-b-i.jpg?rlkey=41rqzwr0p2r9iskk371jzgaws&amp;st=ed4418z8&amp;dl=0</v>
      </c>
      <c r="C7" s="8" t="str">
        <f>IFERROR(__xludf.DUMMYFUNCTION("""COMPUTED_VALUE"""),"""- AI agent ngã xuống bể bơi cho cả nước tung toé hộ em
- AI xuất hiện xong 1 lúc hãng kết thúc
- ren 4k giúp em""")</f>
        <v>"- AI agent ngã xuống bể bơi cho cả nước tung toé hộ em
- AI xuất hiện xong 1 lúc hãng kết thúc
- ren 4k giúp em"</v>
      </c>
      <c r="D7" s="9" t="str">
        <f>IFERROR(__xludf.DUMMYFUNCTION("""COMPUTED_VALUE"""),"https://www.dropbox.com/scl/fo/znnr3sb7l37z1lwe5hi5s/AGHtQNcJ4wqoQD-iG8p1eYA?rlkey=iw3k2t7yzaow7nbzedp4gbrqm&amp;st=6mtzz4nq&amp;dl=0")</f>
        <v>https://www.dropbox.com/scl/fo/znnr3sb7l37z1lwe5hi5s/AGHtQNcJ4wqoQD-iG8p1eYA?rlkey=iw3k2t7yzaow7nbzedp4gbrqm&amp;st=6mtzz4nq&amp;dl=0</v>
      </c>
      <c r="E7" s="8" t="str">
        <f>IFERROR(__xludf.DUMMYFUNCTION("""COMPUTED_VALUE"""),"sale bảo trông nó hơi vô duyên")</f>
        <v>sale bảo trông nó hơi vô duyên</v>
      </c>
      <c r="F7" s="8" t="str">
        <f>IFERROR(__xludf.DUMMYFUNCTION("""COMPUTED_VALUE"""),"v")</f>
        <v>v</v>
      </c>
      <c r="G7" s="10" t="str">
        <f>IFERROR(__xludf.DUMMYFUNCTION("""COMPUTED_VALUE"""),"Từ chối")</f>
        <v>Từ chối</v>
      </c>
      <c r="H7" s="10" t="str">
        <f>IFERROR(__xludf.DUMMYFUNCTION("""COMPUTED_VALUE"""),"Out 1 thì trông hơi vô duyên nhưng Output 2 ok")</f>
        <v>Out 1 thì trông hơi vô duyên nhưng Output 2 ok</v>
      </c>
      <c r="I7" s="8" t="s">
        <v>4</v>
      </c>
      <c r="J7" s="8"/>
      <c r="K7" s="8" t="s">
        <v>12</v>
      </c>
      <c r="L7" s="8" t="s">
        <v>13</v>
      </c>
    </row>
    <row r="8">
      <c r="A8" s="6" t="str">
        <f>IFERROR(__xludf.DUMMYFUNCTION("""COMPUTED_VALUE"""),"TADEC04003Rev2")</f>
        <v>TADEC04003Rev2</v>
      </c>
      <c r="B8" s="7" t="str">
        <f>IFERROR(__xludf.DUMMYFUNCTION("""COMPUTED_VALUE"""),"https://www.dropbox.com/scl/fo/kw4vrsig3dqefiyvomhtj/ACvvBHgCfP22o3LqFvF7nf0?rlkey=tjjtvo7e5h1t2jo5ko4dpg3fk&amp;dl=0")</f>
        <v>https://www.dropbox.com/scl/fo/kw4vrsig3dqefiyvomhtj/ACvvBHgCfP22o3LqFvF7nf0?rlkey=tjjtvo7e5h1t2jo5ko4dpg3fk&amp;dl=0</v>
      </c>
      <c r="C8" s="8" t="str">
        <f>IFERROR(__xludf.DUMMYFUNCTION("""COMPUTED_VALUE"""),"Làm chuyển cảnh AI từ ban ngày sang hoàng hôn cho mặt tiền bên ngoài.")</f>
        <v>Làm chuyển cảnh AI từ ban ngày sang hoàng hôn cho mặt tiền bên ngoài.</v>
      </c>
      <c r="D8" s="7" t="str">
        <f>IFERROR(__xludf.DUMMYFUNCTION("""COMPUTED_VALUE"""),"https://www.dropbox.com/scl/fi/tigqc34z0fusceqzg5fyt/TADEC04003Rev2.mp4?e=1&amp;fbclid=IwY2xjawPkUk5leHRuA2FlbQIxMABicmlkETE1aGdEV1FFVmZxRk9jUVRjc3J0YwZhcHBfaWQQMjIyMDM5MTc4ODIwMDg5MgABHrNKL435kGlkxj3b9um6ArX_cww70_Kp1TTnrnUsgCTwrlVEP9kF-Ux3qwkV_aem_RQ_leOnUF"&amp;"8N6D-vxv42yBA&amp;rlkey=7ud3xpuhow1x8epuhd3ehedue&amp;st=861eayh0&amp;dl=0")</f>
        <v>https://www.dropbox.com/scl/fi/tigqc34z0fusceqzg5fyt/TADEC04003Rev2.mp4?e=1&amp;fbclid=IwY2xjawPkUk5leHRuA2FlbQIxMABicmlkETE1aGdEV1FFVmZxRk9jUVRjc3J0YwZhcHBfaWQQMjIyMDM5MTc4ODIwMDg5MgABHrNKL435kGlkxj3b9um6ArX_cww70_Kp1TTnrnUsgCTwrlVEP9kF-Ux3qwkV_aem_RQ_leOnUF8N6D-vxv42yBA&amp;rlkey=7ud3xpuhow1x8epuhd3ehedue&amp;st=861eayh0&amp;dl=0</v>
      </c>
      <c r="E8" s="8" t="str">
        <f>IFERROR(__xludf.DUMMYFUNCTION("""COMPUTED_VALUE"""),"
- The transition was very short.. it didn’t get to the sunset part can you upload the whole video transition
""
Mình muốn order một clip dài khoảng 5s show căn nhà từ bình minh đến hoàng hôn. ")</f>
        <v>
- The transition was very short.. it didn’t get to the sunset part can you upload the whole video transition
"
Mình muốn order một clip dài khoảng 5s show căn nhà từ bình minh đến hoàng hôn. </v>
      </c>
      <c r="F8" s="8" t="str">
        <f>IFERROR(__xludf.DUMMYFUNCTION("""COMPUTED_VALUE"""),"v")</f>
        <v>v</v>
      </c>
      <c r="G8" s="10"/>
      <c r="H8" s="10"/>
      <c r="I8" s="8" t="s">
        <v>14</v>
      </c>
      <c r="J8" s="10"/>
      <c r="K8" s="10"/>
      <c r="L8" s="10"/>
    </row>
    <row r="9">
      <c r="A9" s="6" t="str">
        <f>IFERROR(__xludf.DUMMYFUNCTION("""COMPUTED_VALUE"""),"NHJAN13010")</f>
        <v>NHJAN13010</v>
      </c>
      <c r="B9" s="9" t="str">
        <f>IFERROR(__xludf.DUMMYFUNCTION("""COMPUTED_VALUE"""),"https://www.dropbox.com/scl/fo/alijlctnv8ogaben7qu3d/ALSwQAggHoIsTGMMasS3tUk?rlkey=f8cb5nvux42996jcsushqcsxm&amp;st=z91y59hn&amp;dl=0")</f>
        <v>https://www.dropbox.com/scl/fo/alijlctnv8ogaben7qu3d/ALSwQAggHoIsTGMMasS3tUk?rlkey=f8cb5nvux42996jcsushqcsxm&amp;st=z91y59hn&amp;dl=0</v>
      </c>
      <c r="C9" s="8" t="str">
        <f>IFERROR(__xludf.DUMMYFUNCTION("""COMPUTED_VALUE"""),"làm AI các ảnh sau A03 - làm AI biến thành mùa hè, A10 - làm AI 1 người ngồi trên giường đọc sách vui vẻ, A11 - làm AI 2 trẻ nhỏ ngồi trên giường chơi vui vẻ, A15 - làm AI trẻ em &amp; thiếu niên ngồi sofa trong basement, A16 làm AI - có người chạy máy xe đạp"&amp;" tập, A18 - làm AI Xe chạy vào driveway, mọi người xuống xe chạy vui vẻ vào nhà, A22- làm AI mọi người vui chơi ngoài front porch đứng dựa lan can, vẫy tay với camera, thêm người chơi bóng rổ ở driveway. ( Tất cả các chuyển từ ảnh 1 sang ảnh 2, và show cá"&amp;"c cảnh AI lâu hơn 1 tý )")</f>
        <v>làm AI các ảnh sau A03 - làm AI biến thành mùa hè, A10 - làm AI 1 người ngồi trên giường đọc sách vui vẻ, A11 - làm AI 2 trẻ nhỏ ngồi trên giường chơi vui vẻ, A15 - làm AI trẻ em &amp; thiếu niên ngồi sofa trong basement, A16 làm AI - có người chạy máy xe đạp tập, A18 - làm AI Xe chạy vào driveway, mọi người xuống xe chạy vui vẻ vào nhà, A22- làm AI mọi người vui chơi ngoài front porch đứng dựa lan can, vẫy tay với camera, thêm người chơi bóng rổ ở driveway. ( Tất cả các chuyển từ ảnh 1 sang ảnh 2, và show các cảnh AI lâu hơn 1 tý )</v>
      </c>
      <c r="D9" s="7" t="str">
        <f>IFERROR(__xludf.DUMMYFUNCTION("""COMPUTED_VALUE"""),"https://www.dropbox.com/scl/fo/xiofzi74dvbg98abbp62e/AKFxvMUJQEqBNUcGsHA7JN0?rlkey=lhlx2zcxcr4vbboowzvchfdhc&amp;st=wfe6qvet&amp;dl=0")</f>
        <v>https://www.dropbox.com/scl/fo/xiofzi74dvbg98abbp62e/AKFxvMUJQEqBNUcGsHA7JN0?rlkey=lhlx2zcxcr4vbboowzvchfdhc&amp;st=wfe6qvet&amp;dl=0</v>
      </c>
      <c r="E9" s="8" t="str">
        <f>IFERROR(__xludf.DUMMYFUNCTION("""COMPUTED_VALUE"""),"out A17 đàn ông mặc bikini")</f>
        <v>out A17 đàn ông mặc bikini</v>
      </c>
      <c r="F9" s="8" t="str">
        <f>IFERROR(__xludf.DUMMYFUNCTION("""COMPUTED_VALUE"""),"v")</f>
        <v>v</v>
      </c>
      <c r="G9" s="8"/>
      <c r="H9" s="8"/>
      <c r="I9" s="8" t="s">
        <v>4</v>
      </c>
      <c r="J9" s="10"/>
      <c r="K9" s="10"/>
      <c r="L9" s="10"/>
    </row>
    <row r="10">
      <c r="A10" s="6" t="str">
        <f>IFERROR(__xludf.DUMMYFUNCTION("""COMPUTED_VALUE"""),"LIDEC10001")</f>
        <v>LIDEC10001</v>
      </c>
      <c r="B10" s="12"/>
      <c r="C10" s="13" t="str">
        <f>IFERROR(__xludf.DUMMYFUNCTION("""COMPUTED_VALUE"""),"Can you guys create a similar video with that AI tool but Santa would bring a black Range Rover sport? (tạo 1 video giống sample nhưng thay bằng loại xe Rover)
Sample: https://www.instagram.com/reel/DRwGrcwDF25/?igsh=aGVsNm5pMGhlcWZu
cảnh 1: cảnh 1 ôn"&amp;"g già noel giữ xe trên mái nhà
cảnh 2: cảnh 2 ông già noel đẩy xe vào vỡ ống khói
cảnh 3: cảnh 3 xe chui qua ống khói")</f>
        <v>Can you guys create a similar video with that AI tool but Santa would bring a black Range Rover sport? (tạo 1 video giống sample nhưng thay bằng loại xe Rover)
Sample: https://www.instagram.com/reel/DRwGrcwDF25/?igsh=aGVsNm5pMGhlcWZu
cảnh 1: cảnh 1 ông già noel giữ xe trên mái nhà
cảnh 2: cảnh 2 ông già noel đẩy xe vào vỡ ống khói
cảnh 3: cảnh 3 xe chui qua ống khói</v>
      </c>
      <c r="D10" s="7" t="str">
        <f>IFERROR(__xludf.DUMMYFUNCTION("""COMPUTED_VALUE"""),"https://www.dropbox.com/scl/fi/bjvb5jfws9n0h0vo00shf/y-t-ng-kh-i.mp4?e=1&amp;fbclid=IwY2xjawPlUMxleHRuA2FlbQIxMABicmlkETFkOU0wRUtMM3Q0bUJFRXNtc3J0YwZhcHBfaWQQMjIyMDM5MTc4ODIwMDg5MgABHjrGgjx__v7GSpOSB41PHtdopshUBIfimpBL9hmfFdT2-TLrUcA4fENZxNZC_aem_N_z16kwbHb-4"&amp;"S5_VfGpMaQ&amp;rlkey=3o95zvygxsfzpsi5el15czulm&amp;st=m8swrj82&amp;dl=0")</f>
        <v>https://www.dropbox.com/scl/fi/bjvb5jfws9n0h0vo00shf/y-t-ng-kh-i.mp4?e=1&amp;fbclid=IwY2xjawPlUMxleHRuA2FlbQIxMABicmlkETFkOU0wRUtMM3Q0bUJFRXNtc3J0YwZhcHBfaWQQMjIyMDM5MTc4ODIwMDg5MgABHjrGgjx__v7GSpOSB41PHtdopshUBIfimpBL9hmfFdT2-TLrUcA4fENZxNZC_aem_N_z16kwbHb-4S5_VfGpMaQ&amp;rlkey=3o95zvygxsfzpsi5el15czulm&amp;st=m8swrj82&amp;dl=0</v>
      </c>
      <c r="E10" s="8" t="str">
        <f>IFERROR(__xludf.DUMMYFUNCTION("""COMPUTED_VALUE"""),"- ông già Noel đẩy rơi ô tô xuống đất, không vào được mái nhà như yêu cầu
- xe ô tô sai yêu cầu, kích cỡ và chính tả
- sửa nhiều lần không đạt yêu cầu")</f>
        <v>- ông già Noel đẩy rơi ô tô xuống đất, không vào được mái nhà như yêu cầu
- xe ô tô sai yêu cầu, kích cỡ và chính tả
- sửa nhiều lần không đạt yêu cầu</v>
      </c>
      <c r="F10" s="8" t="str">
        <f>IFERROR(__xludf.DUMMYFUNCTION("""COMPUTED_VALUE"""),"v")</f>
        <v>v</v>
      </c>
      <c r="G10" s="10"/>
      <c r="H10" s="10"/>
      <c r="I10" s="8" t="s">
        <v>15</v>
      </c>
      <c r="J10" s="10"/>
      <c r="K10" s="10"/>
      <c r="L10" s="10"/>
    </row>
    <row r="11">
      <c r="A11" s="6" t="str">
        <f>IFERROR(__xludf.DUMMYFUNCTION("""COMPUTED_VALUE"""),"LIJAN07001")</f>
        <v>LIJAN07001</v>
      </c>
      <c r="B11" s="14" t="str">
        <f>IFERROR(__xludf.DUMMYFUNCTION("""COMPUTED_VALUE"""),"https://www.dropbox.com/scl/fo/moy1rr6ih4gf1wuk09xfq/ANQBccNgJ_192f9XmxpIn6s?e=1&amp;fbclid=IwY2xjawPlWfRleHRuA2FlbQIxMABicmlkETE1Sm1iekVjQzhtYzNWTDREc3J0YwZhcHBfaWQQMjIyMDM5MTc4ODIwMDg5MgABHj2Wea6hRSoNPzMHttCXNSlqLxC3egzwMbSbPJDEMZL1Nfg7etKSLw20u0_h_aem_gEro"&amp;"AT3oKAP3RoGfQJeERQ&amp;rlkey=fbsrj7j70uj1bkoxf56vaqkj2&amp;st=4c06jaaz&amp;dl=0")</f>
        <v>https://www.dropbox.com/scl/fo/moy1rr6ih4gf1wuk09xfq/ANQBccNgJ_192f9XmxpIn6s?e=1&amp;fbclid=IwY2xjawPlWfRleHRuA2FlbQIxMABicmlkETE1Sm1iekVjQzhtYzNWTDREc3J0YwZhcHBfaWQQMjIyMDM5MTc4ODIwMDg5MgABHj2Wea6hRSoNPzMHttCXNSlqLxC3egzwMbSbPJDEMZL1Nfg7etKSLw20u0_h_aem_gEroAT3oKAP3RoGfQJeERQ&amp;rlkey=fbsrj7j70uj1bkoxf56vaqkj2&amp;st=4c06jaaz&amp;dl=0</v>
      </c>
      <c r="C11" s="8" t="str">
        <f>IFERROR(__xludf.DUMMYFUNCTION("""COMPUTED_VALUE"""),"yêu cầu từng con cờ di chuyển theo quy luật của bàn cờ vua trong thực tế
Using AI could you please make chess pieces move around the board in front of the man standing. As realistic as you can please team.")</f>
        <v>yêu cầu từng con cờ di chuyển theo quy luật của bàn cờ vua trong thực tế
Using AI could you please make chess pieces move around the board in front of the man standing. As realistic as you can please team.</v>
      </c>
      <c r="D11" s="14" t="str">
        <f>IFERROR(__xludf.DUMMYFUNCTION("""COMPUTED_VALUE"""),"https://www.dropbox.com/scl/fi/grd27p8m3wxwb04ml5gm3/LIJAN07001.mp4?rlkey=sd5euwhzcorljnu52ov52q32b&amp;st=b7410ga1&amp;dl=0")</f>
        <v>https://www.dropbox.com/scl/fi/grd27p8m3wxwb04ml5gm3/LIJAN07001.mp4?rlkey=sd5euwhzcorljnu52ov52q32b&amp;st=b7410ga1&amp;dl=0</v>
      </c>
      <c r="E11" s="8" t="str">
        <f>IFERROR(__xludf.DUMMYFUNCTION("""COMPUTED_VALUE"""),"bàn cờ nhảy lên đánh nhau, please move the pieces like a real game of chess, one piece at a time (around 4 - 5different moves ) and have the pieces on the screen all the way to end
( Tạo thành 1 bàn cờ nhưng các quân cờ di chuyển đúng cho em ạ, khoảng 4 5"&amp;" lần ạ )
Bên họ làm cái hiệu ứng không logic khách mới ycau")</f>
        <v>bàn cờ nhảy lên đánh nhau, please move the pieces like a real game of chess, one piece at a time (around 4 - 5different moves ) and have the pieces on the screen all the way to end
( Tạo thành 1 bàn cờ nhưng các quân cờ di chuyển đúng cho em ạ, khoảng 4 5 lần ạ )
Bên họ làm cái hiệu ứng không logic khách mới ycau</v>
      </c>
      <c r="F11" s="10"/>
      <c r="G11" s="10"/>
      <c r="H11" s="10"/>
      <c r="I11" s="8" t="s">
        <v>4</v>
      </c>
      <c r="J11" s="11" t="s">
        <v>16</v>
      </c>
      <c r="K11" s="8" t="s">
        <v>17</v>
      </c>
      <c r="L11" s="8" t="s">
        <v>18</v>
      </c>
    </row>
    <row r="12">
      <c r="A12" s="6" t="str">
        <f>IFERROR(__xludf.DUMMYFUNCTION("""COMPUTED_VALUE"""),"HTDEC18019")</f>
        <v>HTDEC18019</v>
      </c>
      <c r="B12" s="7" t="str">
        <f>IFERROR(__xludf.DUMMYFUNCTION("""COMPUTED_VALUE"""),"https://www.dropbox.com/scl/fo/mvocxfb109de7gugp3o7b/AN5TdzvvKRWaXdzhhA7CQCg?rlkey=0zodass5s63x4w6enpz6f72mn&amp;dl=0")</f>
        <v>https://www.dropbox.com/scl/fo/mvocxfb109de7gugp3o7b/AN5TdzvvKRWaXdzhhA7CQCg?rlkey=0zodass5s63x4w6enpz6f72mn&amp;dl=0</v>
      </c>
      <c r="C12" s="8" t="str">
        <f>IFERROR(__xludf.DUMMYFUNCTION("""COMPUTED_VALUE"""),"""Lets also do a proper AI Christmas effect on the exterior front video
https://www.instagram.com/p/DSH7k9tCpnd/ 
HỘP quà mở ra ngôi nhà 
xuất 4K  
""")</f>
        <v>"Lets also do a proper AI Christmas effect on the exterior front video
https://www.instagram.com/p/DSH7k9tCpnd/ 
HỘP quà mở ra ngôi nhà 
xuất 4K  
"</v>
      </c>
      <c r="D12" s="14" t="str">
        <f>IFERROR(__xludf.DUMMYFUNCTION("""COMPUTED_VALUE"""),"https://www.dropbox.com/scl/fi/tahnb6s1bptknkkz6clex/HTDEC18019.mp4?e=1&amp;fbclid=IwY2xjawPlV8tleHRuA2FlbQIxMABicmlkETFCcmlaQWJFb09URERtajFmc3J0YwZhcHBfaWQQMjIyMDM5MTc4ODIwMDg5MgABHigiLBfOjZcocJKooK6Khb0gHGGqyxYA7G3YxrcM7N3_RlEqDD4xhm9aRXF9_aem_OtPFSfqPOhzcx"&amp;"Nt9v-QJVA&amp;rlkey=htnychu3mumigt2uvkxo8x4wf&amp;st=1d3sah4t&amp;dl=0")</f>
        <v>https://www.dropbox.com/scl/fi/tahnb6s1bptknkkz6clex/HTDEC18019.mp4?e=1&amp;fbclid=IwY2xjawPlV8tleHRuA2FlbQIxMABicmlkETFCcmlaQWJFb09URERtajFmc3J0YwZhcHBfaWQQMjIyMDM5MTc4ODIwMDg5MgABHigiLBfOjZcocJKooK6Khb0gHGGqyxYA7G3YxrcM7N3_RlEqDD4xhm9aRXF9_aem_OtPFSfqPOhzcxNt9v-QJVA&amp;rlkey=htnychu3mumigt2uvkxo8x4wf&amp;st=1d3sah4t&amp;dl=0</v>
      </c>
      <c r="E12" s="10"/>
      <c r="F12" s="8" t="str">
        <f>IFERROR(__xludf.DUMMYFUNCTION("""COMPUTED_VALUE"""),"v")</f>
        <v>v</v>
      </c>
      <c r="G12" s="10"/>
      <c r="H12" s="10"/>
      <c r="I12" s="8" t="s">
        <v>8</v>
      </c>
      <c r="J12" s="10"/>
      <c r="K12" s="10"/>
      <c r="L12" s="10"/>
    </row>
    <row r="13">
      <c r="A13" s="6" t="str">
        <f>IFERROR(__xludf.DUMMYFUNCTION("""COMPUTED_VALUE"""),"HTJAN22005")</f>
        <v>HTJAN22005</v>
      </c>
      <c r="B13" s="7" t="str">
        <f>IFERROR(__xludf.DUMMYFUNCTION("""COMPUTED_VALUE"""),"https://drive.google.com/drive/folders/1zpylYvwL3OdTeapJEcs5n_FvCOlVZmzQ?usp=drive_link")</f>
        <v>https://drive.google.com/drive/folders/1zpylYvwL3OdTeapJEcs5n_FvCOlVZmzQ?usp=drive_link</v>
      </c>
      <c r="C13" s="8" t="str">
        <f>IFERROR(__xludf.DUMMYFUNCTION("""COMPUTED_VALUE"""),"0:20 – Sân trước: 3 bạn bè đa sắc tộc, lounge setup, đồ ăn nhẹ, trước bình minh.
0:45 – Bếp: có client, nhóm bạn quanh đảo bếp, nấu ăn – nâng ly.
0:58 – Phòng khách: gia đình xem phim, day → night.
1:05 – Phòng sinh hoạt: gia đình châu Á (bố mẹ + 3 con), "&amp;"sinh hoạt ấm cúng.
1:15 – Phòng ăn: gia đình 4 người, bàn ăn dưới đèn chùm.
1:28 – Văn phòng tại gia: luxury, không người.
1:41 – Phòng ngủ chính: vợ chồng chuẩn bị đi hẹn hò, ánh sáng moody.
1:52 – Phòng tắm: bubble bath, hơi nước, zoom nhẹ, lướt mượt qu"&amp;"a vanity &amp; shower.
2:17 – Hot tub: 4 bạn bè, đồ uống, day → night.
2:25 – Fire pit: 5 người quanh lửa, day → night.
2:42 – BBQ: “dad-bod” nướng hamburger &amp; hot dog, lửa khói rõ.
2:57 – Phòng gym: Peloton, yoga mat, tạ, không người.
3:13 / 3:26 / 3:32 – 3 "&amp;"phòng ngủ khách: luxury, không người.")</f>
        <v>0:20 – Sân trước: 3 bạn bè đa sắc tộc, lounge setup, đồ ăn nhẹ, trước bình minh.
0:45 – Bếp: có client, nhóm bạn quanh đảo bếp, nấu ăn – nâng ly.
0:58 – Phòng khách: gia đình xem phim, day → night.
1:05 – Phòng sinh hoạt: gia đình châu Á (bố mẹ + 3 con), sinh hoạt ấm cúng.
1:15 – Phòng ăn: gia đình 4 người, bàn ăn dưới đèn chùm.
1:28 – Văn phòng tại gia: luxury, không người.
1:41 – Phòng ngủ chính: vợ chồng chuẩn bị đi hẹn hò, ánh sáng moody.
1:52 – Phòng tắm: bubble bath, hơi nước, zoom nhẹ, lướt mượt qua vanity &amp; shower.
2:17 – Hot tub: 4 bạn bè, đồ uống, day → night.
2:25 – Fire pit: 5 người quanh lửa, day → night.
2:42 – BBQ: “dad-bod” nướng hamburger &amp; hot dog, lửa khói rõ.
2:57 – Phòng gym: Peloton, yoga mat, tạ, không người.
3:13 / 3:26 / 3:32 – 3 phòng ngủ khách: luxury, không người.</v>
      </c>
      <c r="D13" s="14" t="str">
        <f>IFERROR(__xludf.DUMMYFUNCTION("""COMPUTED_VALUE"""),"https://www.dropbox.com/scl/fo/png5d7o096flmnbyb86ip/ABYfn1FLZCNftBmTQ_MKohs?rlkey=oc5vtag97u6myt3x5t2bsmylh&amp;dl=0")</f>
        <v>https://www.dropbox.com/scl/fo/png5d7o096flmnbyb86ip/ABYfn1FLZCNftBmTQ_MKohs?rlkey=oc5vtag97u6myt3x5t2bsmylh&amp;dl=0</v>
      </c>
      <c r="E13" s="8" t="str">
        <f>IFERROR(__xludf.DUMMYFUNCTION("""COMPUTED_VALUE"""),"Trễ 9 tiếng. 
2h sáng GN báo: edit order AI muộn mà 15ef, e vừa hỏi AI bảo bên đấy mới làm dc 9ef, nên e chưa biết dl job này ạ")</f>
        <v>Trễ 9 tiếng. 
2h sáng GN báo: edit order AI muộn mà 15ef, e vừa hỏi AI bảo bên đấy mới làm dc 9ef, nên e chưa biết dl job này ạ</v>
      </c>
      <c r="F13" s="10"/>
      <c r="G13" s="10"/>
      <c r="H13" s="10"/>
      <c r="I13" s="8" t="s">
        <v>4</v>
      </c>
      <c r="J13" s="8" t="s">
        <v>19</v>
      </c>
      <c r="K13" s="8" t="s">
        <v>20</v>
      </c>
      <c r="L13" s="8" t="s">
        <v>21</v>
      </c>
    </row>
    <row r="14">
      <c r="A14" s="6" t="str">
        <f>IFERROR(__xludf.DUMMYFUNCTION("""COMPUTED_VALUE"""),"CHJAN24002")</f>
        <v>CHJAN24002</v>
      </c>
      <c r="B14" s="7" t="str">
        <f>IFERROR(__xludf.DUMMYFUNCTION("""COMPUTED_VALUE"""),"https://www.dropbox.com/scl/fo/7d6acqjog38z1vm5ak2rp/AI9SgUFasa5fBniG4uAKdrM?e=1&amp;fbclid=IwY2xjawPlWi9leHRuA2FlbQIxMABicmlkETFod1hlc1BtN1BtNEVQNUhGc3J0YwZhcHBfaWQQMjIyMDM5MTc4ODIwMDg5MgABHi86iT5aBrtRSxoPUbbr1mR7odhsF1Y_aNdJJTnySuBYdXOr4QicrwsDoqpH_aem_9QA1"&amp;"EWlblISibZwz7ggHGw&amp;rlkey=t2xmxhquowkyzbhth3lqw1t8k&amp;dl=0")</f>
        <v>https://www.dropbox.com/scl/fo/7d6acqjog38z1vm5ak2rp/AI9SgUFasa5fBniG4uAKdrM?e=1&amp;fbclid=IwY2xjawPlWi9leHRuA2FlbQIxMABicmlkETFod1hlc1BtN1BtNEVQNUhGc3J0YwZhcHBfaWQQMjIyMDM5MTc4ODIwMDg5MgABHi86iT5aBrtRSxoPUbbr1mR7odhsF1Y_aNdJJTnySuBYdXOr4QicrwsDoqpH_aem_9QA1EWlblISibZwz7ggHGw&amp;rlkey=t2xmxhquowkyzbhth3lqw1t8k&amp;dl=0</v>
      </c>
      <c r="C14" s="8" t="str">
        <f>IFERROR(__xludf.DUMMYFUNCTION("""COMPUTED_VALUE"""),"Làm 3 AI 3 phòng khác nhau trong cùng clip agent nhảy/búng tay - Use the video INTRO 2 (scenario only) for the AI animation if needed: change everytime she says the words (one for a room like a movie theater, one like with a bar, couches, tvs e sports dec"&amp;"oration, and one with a space for kids with toys and video game) and agent disapears at the end ")</f>
        <v>Làm 3 AI 3 phòng khác nhau trong cùng clip agent nhảy/búng tay - Use the video INTRO 2 (scenario only) for the AI animation if needed: change everytime she says the words (one for a room like a movie theater, one like with a bar, couches, tvs e sports decoration, and one with a space for kids with toys and video game) and agent disapears at the end </v>
      </c>
      <c r="D14" s="7" t="str">
        <f>IFERROR(__xludf.DUMMYFUNCTION("""COMPUTED_VALUE"""),"https://www.dropbox.com/scl/fo/f5wnj62x2xel3sifk62hu/AMo9pRjMEKBywZ0Cjz3l0Ng?e=1&amp;fbclid=IwY2xjawPlWmdleHRuA2FlbQIxMABicmlkETFod1hlc1BtN1BtNEVQNUhGc3J0YwZhcHBfaWQQMjIyMDM5MTc4ODIwMDg5MgABHl2nQdmUJJS_j5Vxe82odrzEtY_3C1OPn0DktM2AB00QtYaaQqY0D8cZ8UeF_aem_SWBl"&amp;"UGj0LcNMpUlm8zBo8A&amp;rlkey=s2atgypm312dhc2iwb9fj9fop&amp;dl=0")</f>
        <v>https://www.dropbox.com/scl/fo/f5wnj62x2xel3sifk62hu/AMo9pRjMEKBywZ0Cjz3l0Ng?e=1&amp;fbclid=IwY2xjawPlWmdleHRuA2FlbQIxMABicmlkETFod1hlc1BtN1BtNEVQNUhGc3J0YwZhcHBfaWQQMjIyMDM5MTc4ODIwMDg5MgABHl2nQdmUJJS_j5Vxe82odrzEtY_3C1OPn0DktM2AB00QtYaaQqY0D8cZ8UeF_aem_SWBlUGj0LcNMpUlm8zBo8A&amp;rlkey=s2atgypm312dhc2iwb9fj9fop&amp;dl=0</v>
      </c>
      <c r="E14" s="8" t="str">
        <f>IFERROR(__xludf.DUMMYFUNCTION("""COMPUTED_VALUE"""),"Agent bay lơ lửng trong phòng, quanh agent hiện rõ vết cắt trắng xóa")</f>
        <v>Agent bay lơ lửng trong phòng, quanh agent hiện rõ vết cắt trắng xóa</v>
      </c>
      <c r="F14" s="10"/>
      <c r="G14" s="8" t="str">
        <f>IFERROR(__xludf.DUMMYFUNCTION("""COMPUTED_VALUE"""),"Từ chối")</f>
        <v>Từ chối</v>
      </c>
      <c r="H14" s="8" t="str">
        <f>IFERROR(__xludf.DUMMYFUNCTION("""COMPUTED_VALUE"""),"agent là do edit roto vào chứ khôn phải AI ren")</f>
        <v>agent là do edit roto vào chứ khôn phải AI ren</v>
      </c>
      <c r="I14" s="10"/>
      <c r="J14" s="10"/>
      <c r="K14" s="10"/>
      <c r="L14" s="10"/>
    </row>
    <row r="15">
      <c r="A15" s="6" t="str">
        <f>IFERROR(__xludf.DUMMYFUNCTION("""COMPUTED_VALUE"""),"CHDEC11004")</f>
        <v>CHDEC11004</v>
      </c>
      <c r="B15" s="15"/>
      <c r="C15" s="8" t="str">
        <f>IFERROR(__xludf.DUMMYFUNCTION("""COMPUTED_VALUE"""),"Please do 2 AI edit. one in the front yard to have the seasons change")</f>
        <v>Please do 2 AI edit. one in the front yard to have the seasons change</v>
      </c>
      <c r="D15" s="16" t="str">
        <f>IFERROR(__xludf.DUMMYFUNCTION("""COMPUTED_VALUE"""),"https://www.dropbox.com/scl/fi/58gvgztk3tqy54s7twhsm/RivaRidge.mp4?rlkey=owxntrs76n82k1onlqsw8pg5a&amp;st=c9mk6igh&amp;dl=0")</f>
        <v>https://www.dropbox.com/scl/fi/58gvgztk3tqy54s7twhsm/RivaRidge.mp4?rlkey=owxntrs76n82k1onlqsw8pg5a&amp;st=c9mk6igh&amp;dl=0</v>
      </c>
      <c r="E15" s="8" t="str">
        <f>IFERROR(__xludf.DUMMYFUNCTION("""COMPUTED_VALUE"""),"tìm mãi mới ra, agent đóng băng trong khung hình, AI không thể hoạt hình hơn, cả cảnh đầu trước nhà và cuối ở bể bơi.  Chất lượng clip AI thấp, bị vỡ")</f>
        <v>tìm mãi mới ra, agent đóng băng trong khung hình, AI không thể hoạt hình hơn, cả cảnh đầu trước nhà và cuối ở bể bơi.  Chất lượng clip AI thấp, bị vỡ</v>
      </c>
      <c r="F15" s="10"/>
      <c r="G15" s="10"/>
      <c r="H15" s="10"/>
      <c r="I15" s="10"/>
      <c r="J15" s="10"/>
      <c r="K15" s="10"/>
      <c r="L15" s="10"/>
    </row>
    <row r="16">
      <c r="A16" s="17" t="str">
        <f>IFERROR(__xludf.DUMMYFUNCTION("""COMPUTED_VALUE"""),"MNJAN2001")</f>
        <v>MNJAN2001</v>
      </c>
      <c r="B16" s="7" t="str">
        <f>IFERROR(__xludf.DUMMYFUNCTION("""COMPUTED_VALUE"""),"https://drive.google.com/drive/folders/1U0fa_YhaiI2vN6hEXKG7fmL5-NC9F-4O")</f>
        <v>https://drive.google.com/drive/folders/1U0fa_YhaiI2vN6hEXKG7fmL5-NC9F-4O</v>
      </c>
      <c r="C16" s="8" t="str">
        <f>IFERROR(__xludf.DUMMYFUNCTION("""COMPUTED_VALUE"""),"Cảnh bên trong nhà:
Thêm người một cách tự nhiên trong khu bếp và phòng khách, đang sinh hoạt bình thường.")</f>
        <v>Cảnh bên trong nhà:
Thêm người một cách tự nhiên trong khu bếp và phòng khách, đang sinh hoạt bình thường.</v>
      </c>
      <c r="D16" s="7" t="str">
        <f>IFERROR(__xludf.DUMMYFUNCTION("""COMPUTED_VALUE"""),"https://www.dropbox.com/scl/fi/vdhm6a6khs3jdjlsic1z4/598-CR-304.mp4?rlkey=p4lqlbpu8977xatoilk6uce3s&amp;st=nwfqzr4p&amp;dl=0")</f>
        <v>https://www.dropbox.com/scl/fi/vdhm6a6khs3jdjlsic1z4/598-CR-304.mp4?rlkey=p4lqlbpu8977xatoilk6uce3s&amp;st=nwfqzr4p&amp;dl=0</v>
      </c>
      <c r="E16" s="8" t="str">
        <f>IFERROR(__xludf.DUMMYFUNCTION("""COMPUTED_VALUE"""),"0:28.   I know it sounds crazy, but I question if we should remove AI of man and woman in the kitchen.   They look like they are fixing to go to the bedroom next. người fake
1:39 logo gemini")</f>
        <v>0:28.   I know it sounds crazy, but I question if we should remove AI of man and woman in the kitchen.   They look like they are fixing to go to the bedroom next. người fake
1:39 logo gemini</v>
      </c>
      <c r="F16" s="8" t="str">
        <f>IFERROR(__xludf.DUMMYFUNCTION("""COMPUTED_VALUE"""),"v")</f>
        <v>v</v>
      </c>
      <c r="G16" s="10" t="str">
        <f>IFERROR(__xludf.DUMMYFUNCTION("""COMPUTED_VALUE"""),"Ghi nhận")</f>
        <v>Ghi nhận</v>
      </c>
      <c r="H16" s="10" t="str">
        <f>IFERROR(__xludf.DUMMYFUNCTION("""COMPUTED_VALUE"""),"Người bị fake + logo gem")</f>
        <v>Người bị fake + logo gem</v>
      </c>
      <c r="I16" s="10"/>
      <c r="J16" s="10"/>
      <c r="K16" s="10"/>
      <c r="L16" s="10"/>
    </row>
    <row r="17">
      <c r="A17" s="6" t="str">
        <f>IFERROR(__xludf.DUMMYFUNCTION("""COMPUTED_VALUE"""),"QUJAN21008")</f>
        <v>QUJAN21008</v>
      </c>
      <c r="B17" s="18" t="str">
        <f>IFERROR(__xludf.DUMMYFUNCTION("""COMPUTED_VALUE"""),"https://www.dropbox.com/scl/fo/jawtea4g6o7bpteky7lwd/AONkC5ja-bAa43MZHKK4oL4?rlkey=i9tgvoibv9ud3eh284pw7kqy2&amp;st=immc0lai&amp;dl=0")</f>
        <v>https://www.dropbox.com/scl/fo/jawtea4g6o7bpteky7lwd/AONkC5ja-bAa43MZHKK4oL4?rlkey=i9tgvoibv9ud3eh284pw7kqy2&amp;st=immc0lai&amp;dl=0</v>
      </c>
      <c r="C17" s="8" t="str">
        <f>IFERROR(__xludf.DUMMYFUNCTION("""COMPUTED_VALUE"""),"  AI Staging (Spanish Style Home)
")</f>
        <v>  AI Staging (Spanish Style Home)
</v>
      </c>
      <c r="D17" s="7" t="str">
        <f>IFERROR(__xludf.DUMMYFUNCTION("""COMPUTED_VALUE"""),"https://www.dropbox.com/scl/fi/3xw8o5ccc3plybogptvqn/QUJAN21008.mp4?rlkey=uxc6mxkfff7iohhux6y78t348&amp;st=2xere0pc&amp;dl=0")</f>
        <v>https://www.dropbox.com/scl/fi/3xw8o5ccc3plybogptvqn/QUJAN21008.mp4?rlkey=uxc6mxkfff7iohhux6y78t348&amp;st=2xere0pc&amp;dl=0</v>
      </c>
      <c r="E17" s="8" t="str">
        <f>IFERROR(__xludf.DUMMYFUNCTION("""COMPUTED_VALUE"""),"Trễ 5 tiếng ")</f>
        <v>Trễ 5 tiếng </v>
      </c>
      <c r="F17" s="10"/>
      <c r="G17" s="10" t="str">
        <f>IFERROR(__xludf.DUMMYFUNCTION("""COMPUTED_VALUE"""),"Từ chối")</f>
        <v>Từ chối</v>
      </c>
      <c r="H17" s="10" t="str">
        <f>IFERROR(__xludf.DUMMYFUNCTION("""COMPUTED_VALUE"""),"13h17 order DL 2 tiếng, 15h31 trả là khá đúng DL rồi, trễ 5 tiéng là do edit")</f>
        <v>13h17 order DL 2 tiếng, 15h31 trả là khá đúng DL rồi, trễ 5 tiéng là do edit</v>
      </c>
      <c r="I17" s="10"/>
      <c r="J17" s="10"/>
      <c r="K17" s="10"/>
      <c r="L17" s="10"/>
    </row>
    <row r="18">
      <c r="A18" s="19" t="str">
        <f>IFERROR(__xludf.DUMMYFUNCTION("""COMPUTED_VALUE"""),"QUJAN19003")</f>
        <v>QUJAN19003</v>
      </c>
      <c r="B18" s="18" t="str">
        <f>IFERROR(__xludf.DUMMYFUNCTION("""COMPUTED_VALUE"""),"https://www.dropbox.com/scl/fo/oxvkefp0fajgg9a0oub05/AKb71XirjmSdSV_zF8O_qJ8?rlkey=6ycrt2fyfuje4b64quymfu32w&amp;st=opwx2yks&amp;dl=0")</f>
        <v>https://www.dropbox.com/scl/fo/oxvkefp0fajgg9a0oub05/AKb71XirjmSdSV_zF8O_qJ8?rlkey=6ycrt2fyfuje4b64quymfu32w&amp;st=opwx2yks&amp;dl=0</v>
      </c>
      <c r="C18" s="8" t="str">
        <f>IFERROR(__xludf.DUMMYFUNCTION("""COMPUTED_VALUE"""),"Dựng nhà và cảnh quan trên khu đất trống trong clip “HOUSE SHOT_0972_D”
Làm AI dựa   trên một trong những hình ảnh tham khảo đã gửi (luxury barndominium), đồng thời video này cũng có hiệu ứng timelapse ban đêm với bầu trời đầy sao mà chúng tôi mong muốn."&amp;" 
 https://www.instagram.com/p/DSdGo4Tjwff/ ")</f>
        <v>Dựng nhà và cảnh quan trên khu đất trống trong clip “HOUSE SHOT_0972_D”
Làm AI dựa   trên một trong những hình ảnh tham khảo đã gửi (luxury barndominium), đồng thời video này cũng có hiệu ứng timelapse ban đêm với bầu trời đầy sao mà chúng tôi mong muốn. 
 https://www.instagram.com/p/DSdGo4Tjwff/ </v>
      </c>
      <c r="D18" s="7" t="str">
        <f>IFERROR(__xludf.DUMMYFUNCTION("""COMPUTED_VALUE"""),"https://www.dropbox.com/scl/fi/bsh3pxizyj6kv24kv6k2g/QUJAN19003.mp4?rlkey=h3ra6bqykqxwpx3hafntfr9dz&amp;st=bd5lihze&amp;dl=0")</f>
        <v>https://www.dropbox.com/scl/fi/bsh3pxizyj6kv24kv6k2g/QUJAN19003.mp4?rlkey=h3ra6bqykqxwpx3hafntfr9dz&amp;st=bd5lihze&amp;dl=0</v>
      </c>
      <c r="E18" s="8" t="str">
        <f>IFERROR(__xludf.DUMMYFUNCTION("""COMPUTED_VALUE"""),"Không làm AI dựng nhà")</f>
        <v>Không làm AI dựng nhà</v>
      </c>
      <c r="F18" s="8" t="str">
        <f>IFERROR(__xludf.DUMMYFUNCTION("""COMPUTED_VALUE"""),"v")</f>
        <v>v</v>
      </c>
      <c r="G18" s="10"/>
      <c r="H18" s="10"/>
      <c r="I18" s="10"/>
      <c r="J18" s="10"/>
      <c r="K18" s="10"/>
      <c r="L18" s="10"/>
    </row>
    <row r="19">
      <c r="A19" s="6" t="str">
        <f>IFERROR(__xludf.DUMMYFUNCTION("""COMPUTED_VALUE"""),"QUJAN19003Rev2")</f>
        <v>QUJAN19003Rev2</v>
      </c>
      <c r="B19" s="7" t="str">
        <f>IFERROR(__xludf.DUMMYFUNCTION("""COMPUTED_VALUE"""),"https://www.dropbox.com/scl/fo/7v6xgj4gheh466n0jr8jv/AFXhnkFtGPhF6jC7O4woJ_w?rlkey=rqswxlqfv5tjqd9q7f4kxwjhb&amp;e=1&amp;dl=0")</f>
        <v>https://www.dropbox.com/scl/fo/7v6xgj4gheh466n0jr8jv/AFXhnkFtGPhF6jC7O4woJ_w?rlkey=rqswxlqfv5tjqd9q7f4kxwjhb&amp;e=1&amp;dl=0</v>
      </c>
      <c r="C19" s="8" t="str">
        <f>IFERROR(__xludf.DUMMYFUNCTION("""COMPUTED_VALUE"""),"Làm AI effect  dựng nhà rồi thì lại làm lỗi AI day to night ( trong khi code QUJAN19003  phần AI day to night đã đẹp rồi )  
Làm rất lâu, DL 5h nhưng 10h đêm mới trả  ")</f>
        <v>Làm AI effect  dựng nhà rồi thì lại làm lỗi AI day to night ( trong khi code QUJAN19003  phần AI day to night đã đẹp rồi )  
Làm rất lâu, DL 5h nhưng 10h đêm mới trả  </v>
      </c>
      <c r="D19" s="7" t="str">
        <f>IFERROR(__xludf.DUMMYFUNCTION("""COMPUTED_VALUE"""),"https://www.dropbox.com/scl/fi/19irl99nlibksqrehxozf/QUJAN19003Rev2.mp4?rlkey=ppizgpcxnsgejzsptlva3ctee&amp;st=t6827qho&amp;dl=0")</f>
        <v>https://www.dropbox.com/scl/fi/19irl99nlibksqrehxozf/QUJAN19003Rev2.mp4?rlkey=ppizgpcxnsgejzsptlva3ctee&amp;st=t6827qho&amp;dl=0</v>
      </c>
      <c r="E19" s="10"/>
      <c r="F19" s="8" t="str">
        <f>IFERROR(__xludf.DUMMYFUNCTION("""COMPUTED_VALUE"""),"v")</f>
        <v>v</v>
      </c>
      <c r="G19" s="10"/>
      <c r="H19" s="10"/>
      <c r="I19" s="10"/>
      <c r="J19" s="10"/>
      <c r="K19" s="10"/>
      <c r="L19" s="10"/>
    </row>
    <row r="20">
      <c r="A20" s="6" t="str">
        <f>IFERROR(__xludf.DUMMYFUNCTION("""COMPUTED_VALUE"""),"HTJAN07002rev2")</f>
        <v>HTJAN07002rev2</v>
      </c>
      <c r="B20" s="7" t="str">
        <f>IFERROR(__xludf.DUMMYFUNCTION("""COMPUTED_VALUE"""),"https://www.dropbox.com/scl/fo/00mtde91xzobkw0ywc9hi/AL2i_fqsWBOBSRcXWqgJ8jg?rlkey=wgfk8zjaqytwqulvy6jx4ubyq&amp;dl=0")</f>
        <v>https://www.dropbox.com/scl/fo/00mtde91xzobkw0ywc9hi/AL2i_fqsWBOBSRcXWqgJ8jg?rlkey=wgfk8zjaqytwqulvy6jx4ubyq&amp;dl=0</v>
      </c>
      <c r="C20" s="8" t="str">
        <f>IFERROR(__xludf.DUMMYFUNCTION("""COMPUTED_VALUE"""),"I am just now seeing the deformed faces of the very first family in the living room enhancement. Can we update this video exactly how it is currently but update the first living room AI image altogether? Same music, same speed ramps. Try to maintain the t"&amp;"wo steps that lead down into the living room area as well please. 
Mặt người bị biến dạng ")</f>
        <v>I am just now seeing the deformed faces of the very first family in the living room enhancement. Can we update this video exactly how it is currently but update the first living room AI image altogether? Same music, same speed ramps. Try to maintain the two steps that lead down into the living room area as well please. 
Mặt người bị biến dạng </v>
      </c>
      <c r="D20" s="7" t="str">
        <f>IFERROR(__xludf.DUMMYFUNCTION("""COMPUTED_VALUE"""),"https://www.dropbox.com/scl/fo/jrem0hdy1d4fvzi0fsjao/AAnQ9OaTZgB-sTL7SP-JHp0?rlkey=b63m8tm0sdfl6z4rnicgq2uk9&amp;dl=0")</f>
        <v>https://www.dropbox.com/scl/fo/jrem0hdy1d4fvzi0fsjao/AAnQ9OaTZgB-sTL7SP-JHp0?rlkey=b63m8tm0sdfl6z4rnicgq2uk9&amp;dl=0</v>
      </c>
      <c r="E20" s="8" t="str">
        <f>IFERROR(__xludf.DUMMYFUNCTION("""COMPUTED_VALUE"""),"Trễ 4 tiếng")</f>
        <v>Trễ 4 tiếng</v>
      </c>
      <c r="F20" s="10"/>
      <c r="G20" s="10" t="str">
        <f>IFERROR(__xludf.DUMMYFUNCTION("""COMPUTED_VALUE"""),"Ghi nhận")</f>
        <v>Ghi nhận</v>
      </c>
      <c r="H20" s="10" t="str">
        <f>IFERROR(__xludf.DUMMYFUNCTION("""COMPUTED_VALUE"""),"AI trễ DL đã phản hồi và qchi xử lý luôn khi nhận được thông tin của sale")</f>
        <v>AI trễ DL đã phản hồi và qchi xử lý luôn khi nhận được thông tin của sale</v>
      </c>
      <c r="I20" s="10"/>
      <c r="J20" s="10"/>
      <c r="K20" s="10"/>
      <c r="L20" s="10"/>
    </row>
    <row r="21">
      <c r="A21" s="6" t="str">
        <f>IFERROR(__xludf.DUMMYFUNCTION("""COMPUTED_VALUE"""),"HTJAN26003")</f>
        <v>HTJAN26003</v>
      </c>
      <c r="B21" s="7" t="str">
        <f>IFERROR(__xludf.DUMMYFUNCTION("""COMPUTED_VALUE"""),"https://drive.google.com/drive/folders/1unnK5qIW3kTRPe5voiU9ojEpw4uB-hVy?usp=drive_link")</f>
        <v>https://drive.google.com/drive/folders/1unnK5qIW3kTRPe5voiU9ojEpw4uB-hVy?usp=drive_link</v>
      </c>
      <c r="C21" s="8" t="str">
        <f>IFERROR(__xludf.DUMMYFUNCTION("""COMPUTED_VALUE"""),"0:18 – Gia đình tụ họp, không khí ấm cúng.
0:31 – Phòng tắm guest en-suite sang trọng.
0:41 – Phòng tắm: hơi nước trong shower, bồn tắm đầy nước.
0:45 – Phòng ngủ trẻ em vui nhộn.
0:58 – Phòng ngủ khách.
1:07 – Great room transition: không gian sinh hoạt "&amp;"lớn, phòng khách &amp; phòng ăn luxury phía xa.
1:21 – Văn phòng tại gia riêng tư.
1:34 – Shower head chảy nước, hơi nước nóng rõ.
1:47 – Phòng ngủ chính, ánh sáng luxury tương phản.
1:57 – Chuyển cảnh day → night, skylight &amp; lửa trong fire pit.
2:25 – Gia đì"&amp;"nh đa thế hệ tụ họp, nấu ăn.
2:36 – Front patio lounge, không có người.")</f>
        <v>0:18 – Gia đình tụ họp, không khí ấm cúng.
0:31 – Phòng tắm guest en-suite sang trọng.
0:41 – Phòng tắm: hơi nước trong shower, bồn tắm đầy nước.
0:45 – Phòng ngủ trẻ em vui nhộn.
0:58 – Phòng ngủ khách.
1:07 – Great room transition: không gian sinh hoạt lớn, phòng khách &amp; phòng ăn luxury phía xa.
1:21 – Văn phòng tại gia riêng tư.
1:34 – Shower head chảy nước, hơi nước nóng rõ.
1:47 – Phòng ngủ chính, ánh sáng luxury tương phản.
1:57 – Chuyển cảnh day → night, skylight &amp; lửa trong fire pit.
2:25 – Gia đình đa thế hệ tụ họp, nấu ăn.
2:36 – Front patio lounge, không có người.</v>
      </c>
      <c r="D21" s="14" t="str">
        <f>IFERROR(__xludf.DUMMYFUNCTION("""COMPUTED_VALUE"""),"https://www.dropbox.com/scl/fo/slfa203eom7ma8p22taeg/AFBUyE9gdnh7OgpdMhcypzY?rlkey=tgqvqhb5fvob8gxk7rnel9rdd&amp;dl=0")</f>
        <v>https://www.dropbox.com/scl/fo/slfa203eom7ma8p22taeg/AFBUyE9gdnh7OgpdMhcypzY?rlkey=tgqvqhb5fvob8gxk7rnel9rdd&amp;dl=0</v>
      </c>
      <c r="E21" s="8" t="str">
        <f>IFERROR(__xludf.DUMMYFUNCTION("""COMPUTED_VALUE"""),"GN bảo edit tự làm AI. Trễ hơn 3 tiếng")</f>
        <v>GN bảo edit tự làm AI. Trễ hơn 3 tiếng</v>
      </c>
      <c r="F21" s="10"/>
      <c r="G21" s="10" t="str">
        <f>IFERROR(__xludf.DUMMYFUNCTION("""COMPUTED_VALUE"""),"Từ chối")</f>
        <v>Từ chối</v>
      </c>
      <c r="H21" s="10" t="str">
        <f>IFERROR(__xludf.DUMMYFUNCTION("""COMPUTED_VALUE"""),"Edit tự làm AI")</f>
        <v>Edit tự làm AI</v>
      </c>
      <c r="I21" s="10"/>
      <c r="J21" s="10"/>
      <c r="K21" s="10"/>
      <c r="L21" s="10"/>
    </row>
    <row r="22">
      <c r="A22" s="6" t="str">
        <f>IFERROR(__xludf.DUMMYFUNCTION("""COMPUTED_VALUE"""),"QUJAN25001")</f>
        <v>QUJAN25001</v>
      </c>
      <c r="B22" s="14" t="str">
        <f>IFERROR(__xludf.DUMMYFUNCTION("""COMPUTED_VALUE"""),"https://www.dropbox.com/scl/fo/3pxc44yoa48dhmmrxc5do/AIB_cBYpSVEAmFZ9einYNIs?rlkey=vqng9rppiqwhmv0ifkuvutt4j&amp;st=esucqycl&amp;dl=0")</f>
        <v>https://www.dropbox.com/scl/fo/3pxc44yoa48dhmmrxc5do/AIB_cBYpSVEAmFZ9einYNIs?rlkey=vqng9rppiqwhmv0ifkuvutt4j&amp;st=esucqycl&amp;dl=0</v>
      </c>
      <c r="C22" s="8" t="str">
        <f>IFERROR(__xludf.DUMMYFUNCTION("""COMPUTED_VALUE"""),"When you speed ramp into the house, you can use “MVI_7408” and pause in living room to make virtual staged furniture popping or sliding into the room (AI effect), then it turns to the dining area, pauses and dining furniture pops into the space, then move"&amp;"s to the kitchen.")</f>
        <v>When you speed ramp into the house, you can use “MVI_7408” and pause in living room to make virtual staged furniture popping or sliding into the room (AI effect), then it turns to the dining area, pauses and dining furniture pops into the space, then moves to the kitchen.</v>
      </c>
      <c r="D22" s="14" t="str">
        <f>IFERROR(__xludf.DUMMYFUNCTION("""COMPUTED_VALUE"""),"https://www.dropbox.com/scl/fo/x49kdvlshlqeppfeaujh4/ALGIv9jtHSVWXhil_Yjivz8?rlkey=lzy3sjx0n0zs94bzqyoesv5zp&amp;dl=0")</f>
        <v>https://www.dropbox.com/scl/fo/x49kdvlshlqeppfeaujh4/ALGIv9jtHSVWXhil_Yjivz8?rlkey=lzy3sjx0n0zs94bzqyoesv5zp&amp;dl=0</v>
      </c>
      <c r="E22" s="8" t="str">
        <f>IFERROR(__xludf.DUMMYFUNCTION("""COMPUTED_VALUE"""),"Order 2 AI living và dining room. nhưng chỉ làm 1 và làm sai  ( dining nhưng làm living )  ")</f>
        <v>Order 2 AI living và dining room. nhưng chỉ làm 1 và làm sai  ( dining nhưng làm living )  </v>
      </c>
      <c r="F22" s="10"/>
      <c r="G22" s="10"/>
      <c r="H22" s="10"/>
      <c r="I22" s="10"/>
      <c r="J22" s="10"/>
      <c r="K22" s="10"/>
      <c r="L22" s="10"/>
    </row>
    <row r="23" ht="325.5" customHeight="1">
      <c r="A23" s="20" t="str">
        <f>IFERROR(__xludf.DUMMYFUNCTION("""COMPUTED_VALUE"""),"CAJAN21001rev7")</f>
        <v>CAJAN21001rev7</v>
      </c>
      <c r="B23" s="7" t="str">
        <f>IFERROR(__xludf.DUMMYFUNCTION("""COMPUTED_VALUE"""),"https://www.dropbox.com/scl/fo/3hojfeu31n7bzyl8dskt9/AHBEq8ljggbppv2qcPk1tkY?rlkey=wuaekwxkzwysahsbu9032oway&amp;st=py6bdxpc&amp;dl=0")</f>
        <v>https://www.dropbox.com/scl/fo/3hojfeu31n7bzyl8dskt9/AHBEq8ljggbppv2qcPk1tkY?rlkey=wuaekwxkzwysahsbu9032oway&amp;st=py6bdxpc&amp;dl=0</v>
      </c>
      <c r="C23" s="13" t="str">
        <f>IFERROR(__xludf.DUMMYFUNCTION("""COMPUTED_VALUE"""),"- AI Video from Photos
1/ 5 AI effect virtual staging furniture 4, 5, 8 , 9, 10 - Luxurious alpine furniture.
Examples of furniture. https://www.youtube.com/watch?v=xBL66Trekxg 
2/ photos AI render 
From photo 3 to photo 4, the transition moves to the le"&amp;"ft.
From photo 5 to photo 6, the transition moves to the right.
From photo 6 to photo 7, the transition moves to the right, toward the back of corridor 8.
From photo 10 to photo 11, the transition moves toward the exterior.
3/ example:
https://www.linked"&amp;"in.com/posts/barnessuisse_barnes-barnessuisse-immobilier-activity-7419015870661689344-TKdE/ ")</f>
        <v>- AI Video from Photos
1/ 5 AI effect virtual staging furniture 4, 5, 8 , 9, 10 - Luxurious alpine furniture.
Examples of furniture. https://www.youtube.com/watch?v=xBL66Trekxg 
2/ photos AI render 
From photo 3 to photo 4, the transition moves to the left.
From photo 5 to photo 6, the transition moves to the right.
From photo 6 to photo 7, the transition moves to the right, toward the back of corridor 8.
From photo 10 to photo 11, the transition moves toward the exterior.
3/ example:
https://www.linkedin.com/posts/barnessuisse_barnes-barnessuisse-immobilier-activity-7419015870661689344-TKdE/ </v>
      </c>
      <c r="D23" s="21" t="str">
        <f>IFERROR(__xludf.DUMMYFUNCTION("""COMPUTED_VALUE"""),"in 11file  out 15ft  5 ef thêm nội thất
https://www.dropbox.com/scl/fo/2g681dzffpb9eeu6361qm/AEqWoET1UgLB1F7eLrkOGQY?rlkey=2a4hq62twz25yr2vzt105btaf&amp;st=r3pafrsz&amp;dl=0 ")</f>
        <v>in 11file  out 15ft  5 ef thêm nội thất
https://www.dropbox.com/scl/fo/2g681dzffpb9eeu6361qm/AEqWoET1UgLB1F7eLrkOGQY?rlkey=2a4hq62twz25yr2vzt105btaf&amp;st=r3pafrsz&amp;dl=0 </v>
      </c>
      <c r="E23" s="8" t="str">
        <f>IFERROR(__xludf.DUMMYFUNCTION("""COMPUTED_VALUE"""),"I want to be transparent and share my overall feedback. Unfortunately, the experience has been quite frustrating. I paid for this test primarily to evaluate the potential of the solution, but I must say that I am not satisfied with the result.
While ther"&amp;"e is clearly a lot of potential, I feel that the AI tool currently being used is not yet mature enough for the level of narrative control, visual coherence, and refinement that I am looking for. In addition, I noticed inconsistencies in the visual storyte"&amp;"lling, particularly in the flow of movements and transitions, despite multiple detailed explanations and references.
I fully understand the technical constraints of AI-generated content, but given the number of iterations and clarifications required, the"&amp;" final outcome does not meet my expectations nor the standards I need for client delivery.")</f>
        <v>I want to be transparent and share my overall feedback. Unfortunately, the experience has been quite frustrating. I paid for this test primarily to evaluate the potential of the solution, but I must say that I am not satisfied with the result.
While there is clearly a lot of potential, I feel that the AI tool currently being used is not yet mature enough for the level of narrative control, visual coherence, and refinement that I am looking for. In addition, I noticed inconsistencies in the visual storytelling, particularly in the flow of movements and transitions, despite multiple detailed explanations and references.
I fully understand the technical constraints of AI-generated content, but given the number of iterations and clarifications required, the final outcome does not meet my expectations nor the standards I need for client delivery.</v>
      </c>
      <c r="F23" s="10"/>
      <c r="G23" s="10"/>
      <c r="H23" s="10"/>
      <c r="I23" s="10"/>
      <c r="J23" s="10"/>
      <c r="K23" s="10"/>
      <c r="L23" s="10"/>
    </row>
    <row r="24">
      <c r="A24" s="22"/>
      <c r="B24" s="12"/>
      <c r="C24" s="10"/>
      <c r="D24" s="12"/>
      <c r="E24" s="10"/>
      <c r="F24" s="10"/>
      <c r="G24" s="10"/>
      <c r="H24" s="10"/>
      <c r="I24" s="10"/>
      <c r="J24" s="10"/>
      <c r="K24" s="10"/>
      <c r="L24" s="10"/>
    </row>
    <row r="25">
      <c r="A25" s="22"/>
      <c r="B25" s="12"/>
      <c r="C25" s="10"/>
      <c r="D25" s="12"/>
      <c r="E25" s="10"/>
      <c r="F25" s="10"/>
      <c r="G25" s="10"/>
      <c r="H25" s="10"/>
      <c r="I25" s="10"/>
      <c r="J25" s="10"/>
      <c r="K25" s="10"/>
      <c r="L25" s="10"/>
    </row>
    <row r="26">
      <c r="A26" s="22"/>
      <c r="B26" s="12"/>
      <c r="C26" s="10"/>
      <c r="D26" s="12"/>
      <c r="E26" s="10"/>
      <c r="F26" s="10"/>
      <c r="G26" s="10"/>
      <c r="H26" s="10"/>
      <c r="I26" s="10"/>
      <c r="J26" s="10"/>
      <c r="K26" s="10"/>
      <c r="L26" s="10"/>
    </row>
    <row r="27">
      <c r="A27" s="22"/>
      <c r="B27" s="12"/>
      <c r="C27" s="10"/>
      <c r="D27" s="12"/>
      <c r="E27" s="10"/>
      <c r="F27" s="10"/>
      <c r="G27" s="10"/>
      <c r="H27" s="10"/>
      <c r="I27" s="10"/>
      <c r="J27" s="10"/>
      <c r="K27" s="10"/>
      <c r="L27" s="10"/>
    </row>
    <row r="28">
      <c r="A28" s="22"/>
      <c r="B28" s="12"/>
      <c r="C28" s="10"/>
      <c r="D28" s="12"/>
      <c r="E28" s="10"/>
      <c r="F28" s="10"/>
      <c r="G28" s="10"/>
      <c r="H28" s="10"/>
      <c r="I28" s="10"/>
      <c r="J28" s="10"/>
      <c r="K28" s="10"/>
      <c r="L28" s="10"/>
    </row>
    <row r="29">
      <c r="A29" s="22"/>
      <c r="B29" s="12"/>
      <c r="C29" s="10"/>
      <c r="D29" s="12"/>
      <c r="E29" s="10"/>
      <c r="F29" s="10"/>
      <c r="G29" s="10"/>
      <c r="H29" s="10"/>
      <c r="I29" s="10"/>
      <c r="J29" s="10"/>
      <c r="K29" s="10"/>
      <c r="L29" s="10"/>
    </row>
    <row r="30">
      <c r="A30" s="22"/>
      <c r="B30" s="12"/>
      <c r="C30" s="10"/>
      <c r="D30" s="12"/>
      <c r="E30" s="10"/>
      <c r="F30" s="10"/>
      <c r="G30" s="10"/>
      <c r="H30" s="10"/>
      <c r="I30" s="10"/>
      <c r="J30" s="10"/>
      <c r="K30" s="10"/>
      <c r="L30" s="10"/>
    </row>
    <row r="31">
      <c r="A31" s="22"/>
      <c r="B31" s="12"/>
      <c r="C31" s="10"/>
      <c r="D31" s="12"/>
      <c r="E31" s="10"/>
      <c r="F31" s="10"/>
      <c r="G31" s="10"/>
      <c r="H31" s="10"/>
      <c r="I31" s="10"/>
      <c r="J31" s="10"/>
      <c r="K31" s="10"/>
      <c r="L31" s="10"/>
    </row>
    <row r="32">
      <c r="A32" s="22"/>
      <c r="B32" s="12"/>
      <c r="C32" s="10"/>
      <c r="D32" s="12"/>
      <c r="E32" s="10"/>
      <c r="F32" s="10"/>
      <c r="G32" s="10"/>
      <c r="H32" s="10"/>
      <c r="I32" s="10"/>
      <c r="J32" s="10"/>
      <c r="K32" s="10"/>
      <c r="L32" s="10"/>
    </row>
    <row r="33">
      <c r="A33" s="22"/>
      <c r="B33" s="12"/>
      <c r="C33" s="10"/>
      <c r="D33" s="12"/>
      <c r="E33" s="10"/>
      <c r="F33" s="10"/>
      <c r="G33" s="10"/>
      <c r="H33" s="10"/>
      <c r="I33" s="10"/>
      <c r="J33" s="10"/>
      <c r="K33" s="10"/>
      <c r="L33" s="10"/>
    </row>
    <row r="34">
      <c r="A34" s="22"/>
      <c r="B34" s="12"/>
      <c r="C34" s="10"/>
      <c r="D34" s="12"/>
      <c r="E34" s="10"/>
      <c r="F34" s="10"/>
      <c r="G34" s="10"/>
      <c r="H34" s="10"/>
      <c r="I34" s="10"/>
      <c r="J34" s="10"/>
      <c r="K34" s="10"/>
      <c r="L34" s="10"/>
    </row>
    <row r="35">
      <c r="A35" s="22"/>
      <c r="B35" s="12"/>
      <c r="C35" s="10"/>
      <c r="D35" s="12"/>
      <c r="E35" s="10"/>
      <c r="F35" s="10"/>
      <c r="G35" s="10"/>
      <c r="H35" s="10"/>
      <c r="I35" s="10"/>
      <c r="J35" s="10"/>
      <c r="K35" s="10"/>
      <c r="L35" s="10"/>
    </row>
    <row r="36">
      <c r="A36" s="22"/>
      <c r="B36" s="12"/>
      <c r="C36" s="10"/>
      <c r="D36" s="12"/>
      <c r="E36" s="10"/>
      <c r="F36" s="10"/>
      <c r="G36" s="10"/>
      <c r="H36" s="10"/>
      <c r="I36" s="10"/>
      <c r="J36" s="10"/>
      <c r="K36" s="10"/>
      <c r="L36" s="10"/>
    </row>
    <row r="37">
      <c r="A37" s="22"/>
      <c r="B37" s="12"/>
      <c r="C37" s="10"/>
      <c r="D37" s="12"/>
      <c r="E37" s="10"/>
      <c r="F37" s="10"/>
      <c r="G37" s="10"/>
      <c r="H37" s="10"/>
      <c r="I37" s="10"/>
      <c r="J37" s="10"/>
      <c r="K37" s="10"/>
      <c r="L37" s="10"/>
    </row>
    <row r="38">
      <c r="A38" s="22"/>
      <c r="B38" s="12"/>
      <c r="C38" s="10"/>
      <c r="D38" s="12"/>
      <c r="E38" s="10"/>
      <c r="F38" s="10"/>
      <c r="G38" s="10"/>
      <c r="H38" s="10"/>
      <c r="I38" s="10"/>
      <c r="J38" s="10"/>
      <c r="K38" s="10"/>
      <c r="L38" s="10"/>
    </row>
    <row r="39">
      <c r="A39" s="22"/>
      <c r="B39" s="12"/>
      <c r="C39" s="10"/>
      <c r="D39" s="12"/>
      <c r="E39" s="10"/>
      <c r="F39" s="10"/>
      <c r="G39" s="10"/>
      <c r="H39" s="10"/>
      <c r="I39" s="10"/>
      <c r="J39" s="10"/>
      <c r="K39" s="10"/>
      <c r="L39" s="10"/>
    </row>
    <row r="40">
      <c r="A40" s="22"/>
      <c r="B40" s="12"/>
      <c r="C40" s="10"/>
      <c r="D40" s="12"/>
      <c r="E40" s="10"/>
      <c r="F40" s="10"/>
      <c r="G40" s="10"/>
      <c r="H40" s="10"/>
      <c r="I40" s="10"/>
      <c r="J40" s="10"/>
      <c r="K40" s="10"/>
      <c r="L40" s="10"/>
    </row>
    <row r="41">
      <c r="A41" s="22"/>
      <c r="B41" s="12"/>
      <c r="C41" s="10"/>
      <c r="D41" s="12"/>
      <c r="E41" s="10"/>
      <c r="F41" s="10"/>
      <c r="G41" s="10"/>
      <c r="H41" s="10"/>
      <c r="I41" s="10"/>
      <c r="J41" s="10"/>
      <c r="K41" s="10"/>
      <c r="L41" s="10"/>
    </row>
    <row r="42">
      <c r="A42" s="22"/>
      <c r="B42" s="12"/>
      <c r="C42" s="10"/>
      <c r="D42" s="12"/>
      <c r="E42" s="10"/>
      <c r="F42" s="10"/>
      <c r="G42" s="10"/>
      <c r="H42" s="10"/>
      <c r="I42" s="10"/>
      <c r="J42" s="10"/>
      <c r="K42" s="10"/>
      <c r="L42" s="10"/>
    </row>
    <row r="43">
      <c r="A43" s="22"/>
      <c r="B43" s="12"/>
      <c r="C43" s="10"/>
      <c r="D43" s="12"/>
      <c r="E43" s="10"/>
      <c r="F43" s="10"/>
      <c r="G43" s="10"/>
      <c r="H43" s="10"/>
      <c r="I43" s="10"/>
      <c r="J43" s="10"/>
      <c r="K43" s="10"/>
      <c r="L43" s="10"/>
    </row>
    <row r="44">
      <c r="A44" s="22"/>
      <c r="B44" s="12"/>
      <c r="C44" s="10"/>
      <c r="D44" s="12"/>
      <c r="E44" s="10"/>
      <c r="F44" s="10"/>
      <c r="G44" s="10"/>
      <c r="H44" s="10"/>
      <c r="I44" s="10"/>
      <c r="J44" s="10"/>
      <c r="K44" s="10"/>
      <c r="L44" s="10"/>
    </row>
    <row r="45">
      <c r="A45" s="22"/>
      <c r="B45" s="12"/>
      <c r="C45" s="10"/>
      <c r="D45" s="12"/>
      <c r="E45" s="10"/>
      <c r="F45" s="10"/>
      <c r="G45" s="10"/>
      <c r="H45" s="10"/>
      <c r="I45" s="10"/>
      <c r="J45" s="10"/>
      <c r="K45" s="10"/>
      <c r="L45" s="10"/>
    </row>
    <row r="46">
      <c r="A46" s="22"/>
      <c r="B46" s="12"/>
      <c r="C46" s="10"/>
      <c r="D46" s="12"/>
      <c r="E46" s="10"/>
      <c r="F46" s="10"/>
      <c r="G46" s="10"/>
      <c r="H46" s="10"/>
      <c r="I46" s="10"/>
      <c r="J46" s="10"/>
      <c r="K46" s="10"/>
      <c r="L46" s="10"/>
    </row>
    <row r="47">
      <c r="A47" s="22"/>
      <c r="B47" s="12"/>
      <c r="C47" s="10"/>
      <c r="D47" s="12"/>
      <c r="E47" s="10"/>
      <c r="F47" s="10"/>
      <c r="G47" s="10"/>
      <c r="H47" s="10"/>
      <c r="I47" s="10"/>
      <c r="J47" s="10"/>
      <c r="K47" s="10"/>
      <c r="L47" s="10"/>
    </row>
    <row r="48">
      <c r="A48" s="22"/>
      <c r="B48" s="12"/>
      <c r="C48" s="10"/>
      <c r="D48" s="12"/>
      <c r="E48" s="10"/>
      <c r="F48" s="10"/>
      <c r="G48" s="10"/>
      <c r="H48" s="10"/>
      <c r="I48" s="10"/>
      <c r="J48" s="10"/>
      <c r="K48" s="10"/>
      <c r="L48" s="10"/>
    </row>
    <row r="49">
      <c r="A49" s="22"/>
      <c r="B49" s="12"/>
      <c r="C49" s="10"/>
      <c r="D49" s="12"/>
      <c r="E49" s="10"/>
      <c r="F49" s="10"/>
      <c r="G49" s="10"/>
      <c r="H49" s="10"/>
      <c r="I49" s="10"/>
      <c r="J49" s="10"/>
      <c r="K49" s="10"/>
      <c r="L49" s="10"/>
    </row>
    <row r="50">
      <c r="A50" s="22"/>
      <c r="B50" s="12"/>
      <c r="C50" s="10"/>
      <c r="D50" s="12"/>
      <c r="E50" s="10"/>
      <c r="F50" s="10"/>
      <c r="G50" s="10"/>
      <c r="H50" s="10"/>
      <c r="I50" s="10"/>
      <c r="J50" s="10"/>
      <c r="K50" s="10"/>
      <c r="L50" s="10"/>
    </row>
    <row r="51">
      <c r="A51" s="22"/>
      <c r="B51" s="12"/>
      <c r="C51" s="10"/>
      <c r="D51" s="12"/>
      <c r="E51" s="10"/>
      <c r="F51" s="10"/>
      <c r="G51" s="10"/>
      <c r="H51" s="10"/>
      <c r="I51" s="10"/>
      <c r="J51" s="10"/>
      <c r="K51" s="10"/>
      <c r="L51" s="10"/>
    </row>
    <row r="52">
      <c r="A52" s="22"/>
      <c r="B52" s="12"/>
      <c r="C52" s="10"/>
      <c r="D52" s="12"/>
      <c r="E52" s="10"/>
      <c r="F52" s="10"/>
      <c r="G52" s="10"/>
      <c r="H52" s="10"/>
      <c r="I52" s="10"/>
      <c r="J52" s="10"/>
      <c r="K52" s="10"/>
      <c r="L52" s="10"/>
    </row>
    <row r="53">
      <c r="A53" s="22"/>
      <c r="B53" s="12"/>
      <c r="C53" s="10"/>
      <c r="D53" s="12"/>
      <c r="E53" s="10"/>
      <c r="F53" s="10"/>
      <c r="G53" s="10"/>
      <c r="H53" s="10"/>
      <c r="I53" s="10"/>
      <c r="J53" s="10"/>
      <c r="K53" s="10"/>
      <c r="L53" s="10"/>
    </row>
    <row r="54">
      <c r="A54" s="22"/>
      <c r="B54" s="12"/>
      <c r="C54" s="10"/>
      <c r="D54" s="12"/>
      <c r="E54" s="10"/>
      <c r="F54" s="10"/>
      <c r="G54" s="10"/>
      <c r="H54" s="10"/>
      <c r="I54" s="10"/>
      <c r="J54" s="10"/>
      <c r="K54" s="10"/>
      <c r="L54" s="10"/>
    </row>
    <row r="55">
      <c r="A55" s="22"/>
      <c r="B55" s="12"/>
      <c r="C55" s="10"/>
      <c r="D55" s="12"/>
      <c r="E55" s="10"/>
      <c r="F55" s="10"/>
      <c r="G55" s="10"/>
      <c r="H55" s="10"/>
      <c r="I55" s="10"/>
      <c r="J55" s="10"/>
      <c r="K55" s="10"/>
      <c r="L55" s="10"/>
    </row>
    <row r="56">
      <c r="A56" s="22"/>
      <c r="B56" s="12"/>
      <c r="C56" s="10"/>
      <c r="D56" s="12"/>
      <c r="E56" s="10"/>
      <c r="F56" s="10"/>
      <c r="G56" s="10"/>
      <c r="H56" s="10"/>
      <c r="I56" s="10"/>
      <c r="J56" s="10"/>
      <c r="K56" s="10"/>
      <c r="L56" s="10"/>
    </row>
    <row r="57">
      <c r="A57" s="22"/>
      <c r="B57" s="12"/>
      <c r="C57" s="10"/>
      <c r="D57" s="12"/>
      <c r="E57" s="10"/>
      <c r="F57" s="10"/>
      <c r="G57" s="10"/>
      <c r="H57" s="10"/>
      <c r="I57" s="10"/>
      <c r="J57" s="10"/>
      <c r="K57" s="10"/>
      <c r="L57" s="10"/>
    </row>
    <row r="58">
      <c r="A58" s="22"/>
      <c r="B58" s="12"/>
      <c r="C58" s="10"/>
      <c r="D58" s="12"/>
      <c r="E58" s="10"/>
      <c r="F58" s="10"/>
      <c r="G58" s="10"/>
      <c r="H58" s="10"/>
      <c r="I58" s="10"/>
      <c r="J58" s="10"/>
      <c r="K58" s="10"/>
      <c r="L58" s="10"/>
    </row>
    <row r="59">
      <c r="A59" s="22"/>
      <c r="B59" s="12"/>
      <c r="C59" s="10"/>
      <c r="D59" s="12"/>
      <c r="E59" s="10"/>
      <c r="F59" s="10"/>
      <c r="G59" s="10"/>
      <c r="H59" s="10"/>
      <c r="I59" s="10"/>
      <c r="J59" s="10"/>
      <c r="K59" s="10"/>
      <c r="L59" s="10"/>
    </row>
    <row r="60">
      <c r="A60" s="22"/>
      <c r="B60" s="12"/>
      <c r="C60" s="10"/>
      <c r="D60" s="12"/>
      <c r="E60" s="10"/>
      <c r="F60" s="10"/>
      <c r="G60" s="10"/>
      <c r="H60" s="10"/>
      <c r="I60" s="10"/>
      <c r="J60" s="10"/>
      <c r="K60" s="10"/>
      <c r="L60" s="10"/>
    </row>
    <row r="61">
      <c r="A61" s="22"/>
      <c r="B61" s="12"/>
      <c r="C61" s="10"/>
      <c r="D61" s="12"/>
      <c r="E61" s="10"/>
      <c r="F61" s="10"/>
      <c r="G61" s="10"/>
      <c r="H61" s="10"/>
      <c r="I61" s="10"/>
      <c r="J61" s="10"/>
      <c r="K61" s="10"/>
      <c r="L61" s="10"/>
    </row>
    <row r="62">
      <c r="A62" s="22"/>
      <c r="B62" s="12"/>
      <c r="C62" s="10"/>
      <c r="D62" s="12"/>
      <c r="E62" s="10"/>
      <c r="F62" s="10"/>
      <c r="G62" s="10"/>
      <c r="H62" s="10"/>
      <c r="I62" s="10"/>
      <c r="J62" s="10"/>
      <c r="K62" s="10"/>
      <c r="L62" s="10"/>
    </row>
    <row r="63">
      <c r="A63" s="22"/>
      <c r="B63" s="12"/>
      <c r="C63" s="10"/>
      <c r="D63" s="12"/>
      <c r="E63" s="10"/>
      <c r="F63" s="10"/>
      <c r="G63" s="10"/>
      <c r="H63" s="10"/>
      <c r="I63" s="10"/>
      <c r="J63" s="10"/>
      <c r="K63" s="10"/>
      <c r="L63" s="10"/>
    </row>
    <row r="64">
      <c r="A64" s="22"/>
      <c r="B64" s="12"/>
      <c r="C64" s="10"/>
      <c r="D64" s="12"/>
      <c r="E64" s="10"/>
      <c r="F64" s="10"/>
      <c r="G64" s="10"/>
      <c r="H64" s="10"/>
      <c r="I64" s="10"/>
      <c r="J64" s="10"/>
      <c r="K64" s="10"/>
      <c r="L64" s="10"/>
    </row>
    <row r="65">
      <c r="A65" s="22"/>
      <c r="B65" s="12"/>
      <c r="C65" s="10"/>
      <c r="D65" s="12"/>
      <c r="E65" s="10"/>
      <c r="F65" s="10"/>
      <c r="G65" s="10"/>
      <c r="H65" s="10"/>
      <c r="I65" s="10"/>
      <c r="J65" s="10"/>
      <c r="K65" s="10"/>
      <c r="L65" s="10"/>
    </row>
    <row r="66">
      <c r="A66" s="22"/>
      <c r="B66" s="12"/>
      <c r="C66" s="10"/>
      <c r="D66" s="12"/>
      <c r="E66" s="10"/>
      <c r="F66" s="10"/>
      <c r="G66" s="10"/>
      <c r="H66" s="10"/>
      <c r="I66" s="10"/>
      <c r="J66" s="10"/>
      <c r="K66" s="10"/>
      <c r="L66" s="10"/>
    </row>
    <row r="67">
      <c r="A67" s="22"/>
      <c r="B67" s="12"/>
      <c r="C67" s="10"/>
      <c r="D67" s="12"/>
      <c r="E67" s="10"/>
      <c r="F67" s="10"/>
      <c r="G67" s="10"/>
      <c r="H67" s="10"/>
      <c r="I67" s="10"/>
      <c r="J67" s="10"/>
      <c r="K67" s="10"/>
      <c r="L67" s="10"/>
    </row>
    <row r="68">
      <c r="A68" s="22"/>
      <c r="B68" s="12"/>
      <c r="C68" s="10"/>
      <c r="D68" s="12"/>
      <c r="E68" s="10"/>
      <c r="F68" s="10"/>
      <c r="G68" s="10"/>
      <c r="H68" s="10"/>
      <c r="I68" s="10"/>
      <c r="J68" s="10"/>
      <c r="K68" s="10"/>
      <c r="L68" s="10"/>
    </row>
    <row r="69">
      <c r="A69" s="22"/>
      <c r="B69" s="12"/>
      <c r="C69" s="10"/>
      <c r="D69" s="12"/>
      <c r="E69" s="10"/>
      <c r="F69" s="10"/>
      <c r="G69" s="10"/>
      <c r="H69" s="10"/>
      <c r="I69" s="10"/>
      <c r="J69" s="10"/>
      <c r="K69" s="10"/>
      <c r="L69" s="10"/>
    </row>
    <row r="70">
      <c r="A70" s="22"/>
      <c r="B70" s="12"/>
      <c r="C70" s="10"/>
      <c r="D70" s="12"/>
      <c r="E70" s="10"/>
      <c r="F70" s="10"/>
      <c r="G70" s="10"/>
      <c r="H70" s="10"/>
      <c r="I70" s="10"/>
      <c r="J70" s="10"/>
      <c r="K70" s="10"/>
      <c r="L70" s="10"/>
    </row>
    <row r="71">
      <c r="A71" s="22"/>
      <c r="B71" s="12"/>
      <c r="C71" s="10"/>
      <c r="D71" s="12"/>
      <c r="E71" s="10"/>
      <c r="F71" s="10"/>
      <c r="G71" s="10"/>
      <c r="H71" s="10"/>
      <c r="I71" s="10"/>
      <c r="J71" s="10"/>
      <c r="K71" s="10"/>
      <c r="L71" s="10"/>
    </row>
    <row r="72">
      <c r="A72" s="22"/>
      <c r="B72" s="12"/>
      <c r="C72" s="10"/>
      <c r="D72" s="12"/>
      <c r="E72" s="10"/>
      <c r="F72" s="10"/>
      <c r="G72" s="10"/>
      <c r="H72" s="10"/>
      <c r="I72" s="10"/>
      <c r="J72" s="10"/>
      <c r="K72" s="10"/>
      <c r="L72" s="10"/>
    </row>
    <row r="73">
      <c r="A73" s="22"/>
      <c r="B73" s="12"/>
      <c r="C73" s="10"/>
      <c r="D73" s="12"/>
      <c r="E73" s="10"/>
      <c r="F73" s="10"/>
      <c r="G73" s="10"/>
      <c r="H73" s="10"/>
      <c r="I73" s="10"/>
      <c r="J73" s="10"/>
      <c r="K73" s="10"/>
      <c r="L73" s="10"/>
    </row>
    <row r="74">
      <c r="A74" s="22"/>
      <c r="B74" s="12"/>
      <c r="C74" s="10"/>
      <c r="D74" s="12"/>
      <c r="E74" s="10"/>
      <c r="F74" s="10"/>
      <c r="G74" s="10"/>
      <c r="H74" s="10"/>
      <c r="I74" s="10"/>
      <c r="J74" s="10"/>
      <c r="K74" s="10"/>
      <c r="L74" s="10"/>
    </row>
    <row r="75">
      <c r="A75" s="22"/>
      <c r="B75" s="12"/>
      <c r="C75" s="10"/>
      <c r="D75" s="12"/>
      <c r="E75" s="10"/>
      <c r="F75" s="10"/>
      <c r="G75" s="10"/>
      <c r="H75" s="10"/>
      <c r="I75" s="10"/>
      <c r="J75" s="10"/>
      <c r="K75" s="10"/>
      <c r="L75" s="10"/>
    </row>
    <row r="76">
      <c r="A76" s="22"/>
      <c r="B76" s="12"/>
      <c r="C76" s="10"/>
      <c r="D76" s="12"/>
      <c r="E76" s="10"/>
      <c r="F76" s="10"/>
      <c r="G76" s="10"/>
      <c r="H76" s="10"/>
      <c r="I76" s="10"/>
      <c r="J76" s="10"/>
      <c r="K76" s="10"/>
      <c r="L76" s="10"/>
    </row>
    <row r="77">
      <c r="A77" s="22"/>
      <c r="B77" s="12"/>
      <c r="C77" s="10"/>
      <c r="D77" s="12"/>
      <c r="E77" s="10"/>
      <c r="F77" s="10"/>
      <c r="G77" s="10"/>
      <c r="H77" s="10"/>
      <c r="I77" s="10"/>
      <c r="J77" s="10"/>
      <c r="K77" s="10"/>
      <c r="L77" s="10"/>
    </row>
    <row r="78">
      <c r="A78" s="22"/>
      <c r="B78" s="12"/>
      <c r="C78" s="10"/>
      <c r="D78" s="12"/>
      <c r="E78" s="10"/>
      <c r="F78" s="10"/>
      <c r="G78" s="10"/>
      <c r="H78" s="10"/>
      <c r="I78" s="10"/>
      <c r="J78" s="10"/>
      <c r="K78" s="10"/>
      <c r="L78" s="10"/>
    </row>
    <row r="79">
      <c r="A79" s="22"/>
      <c r="B79" s="12"/>
      <c r="C79" s="10"/>
      <c r="D79" s="12"/>
      <c r="E79" s="10"/>
      <c r="F79" s="10"/>
      <c r="G79" s="10"/>
      <c r="H79" s="10"/>
      <c r="I79" s="10"/>
      <c r="J79" s="10"/>
      <c r="K79" s="10"/>
      <c r="L79" s="10"/>
    </row>
    <row r="80">
      <c r="A80" s="22"/>
      <c r="B80" s="12"/>
      <c r="C80" s="10"/>
      <c r="D80" s="12"/>
      <c r="E80" s="10"/>
      <c r="F80" s="10"/>
      <c r="G80" s="10"/>
      <c r="H80" s="10"/>
      <c r="I80" s="10"/>
      <c r="J80" s="10"/>
      <c r="K80" s="10"/>
      <c r="L80" s="10"/>
    </row>
    <row r="81">
      <c r="A81" s="22"/>
      <c r="B81" s="12"/>
      <c r="C81" s="10"/>
      <c r="D81" s="12"/>
      <c r="E81" s="10"/>
      <c r="F81" s="10"/>
      <c r="G81" s="10"/>
      <c r="H81" s="10"/>
      <c r="I81" s="10"/>
      <c r="J81" s="10"/>
      <c r="K81" s="10"/>
      <c r="L81" s="10"/>
    </row>
    <row r="82">
      <c r="A82" s="22"/>
      <c r="B82" s="12"/>
      <c r="C82" s="10"/>
      <c r="D82" s="12"/>
      <c r="E82" s="10"/>
      <c r="F82" s="10"/>
      <c r="G82" s="10"/>
      <c r="H82" s="10"/>
      <c r="I82" s="10"/>
      <c r="J82" s="10"/>
      <c r="K82" s="10"/>
      <c r="L82" s="10"/>
    </row>
    <row r="83">
      <c r="A83" s="22"/>
      <c r="B83" s="12"/>
      <c r="C83" s="10"/>
      <c r="D83" s="12"/>
      <c r="E83" s="10"/>
      <c r="F83" s="10"/>
      <c r="G83" s="10"/>
      <c r="H83" s="10"/>
      <c r="I83" s="10"/>
      <c r="J83" s="10"/>
      <c r="K83" s="10"/>
      <c r="L83" s="10"/>
    </row>
    <row r="84">
      <c r="A84" s="22"/>
      <c r="B84" s="12"/>
      <c r="C84" s="10"/>
      <c r="D84" s="12"/>
      <c r="E84" s="10"/>
      <c r="F84" s="10"/>
      <c r="G84" s="10"/>
      <c r="H84" s="10"/>
      <c r="I84" s="10"/>
      <c r="J84" s="10"/>
      <c r="K84" s="10"/>
      <c r="L84" s="10"/>
    </row>
    <row r="85">
      <c r="A85" s="22"/>
      <c r="B85" s="12"/>
      <c r="C85" s="10"/>
      <c r="D85" s="12"/>
      <c r="E85" s="10"/>
      <c r="F85" s="10"/>
      <c r="G85" s="10"/>
      <c r="H85" s="10"/>
      <c r="I85" s="10"/>
      <c r="J85" s="10"/>
      <c r="K85" s="10"/>
      <c r="L85" s="10"/>
    </row>
    <row r="86">
      <c r="A86" s="22"/>
      <c r="B86" s="12"/>
      <c r="C86" s="10"/>
      <c r="D86" s="12"/>
      <c r="E86" s="10"/>
      <c r="F86" s="10"/>
      <c r="G86" s="10"/>
      <c r="H86" s="10"/>
      <c r="I86" s="10"/>
      <c r="J86" s="10"/>
      <c r="K86" s="10"/>
      <c r="L86" s="10"/>
    </row>
    <row r="87">
      <c r="A87" s="22"/>
      <c r="B87" s="12"/>
      <c r="C87" s="10"/>
      <c r="D87" s="12"/>
      <c r="E87" s="10"/>
      <c r="F87" s="10"/>
      <c r="G87" s="10"/>
      <c r="H87" s="10"/>
      <c r="I87" s="10"/>
      <c r="J87" s="10"/>
      <c r="K87" s="10"/>
      <c r="L87" s="10"/>
    </row>
    <row r="88">
      <c r="A88" s="22"/>
      <c r="B88" s="12"/>
      <c r="C88" s="10"/>
      <c r="D88" s="12"/>
      <c r="E88" s="10"/>
      <c r="F88" s="10"/>
      <c r="G88" s="10"/>
      <c r="H88" s="10"/>
      <c r="I88" s="10"/>
      <c r="J88" s="10"/>
      <c r="K88" s="10"/>
      <c r="L88" s="10"/>
    </row>
    <row r="89">
      <c r="A89" s="22"/>
      <c r="B89" s="12"/>
      <c r="C89" s="10"/>
      <c r="D89" s="12"/>
      <c r="E89" s="10"/>
      <c r="F89" s="10"/>
      <c r="G89" s="10"/>
      <c r="H89" s="10"/>
      <c r="I89" s="10"/>
      <c r="J89" s="10"/>
      <c r="K89" s="10"/>
      <c r="L89" s="10"/>
    </row>
    <row r="90">
      <c r="A90" s="22"/>
      <c r="B90" s="12"/>
      <c r="C90" s="10"/>
      <c r="D90" s="12"/>
      <c r="E90" s="10"/>
      <c r="F90" s="10"/>
      <c r="G90" s="10"/>
      <c r="H90" s="10"/>
      <c r="I90" s="10"/>
      <c r="J90" s="10"/>
      <c r="K90" s="10"/>
      <c r="L90" s="10"/>
    </row>
    <row r="91">
      <c r="A91" s="22"/>
      <c r="B91" s="12"/>
      <c r="C91" s="10"/>
      <c r="D91" s="12"/>
      <c r="E91" s="10"/>
      <c r="F91" s="10"/>
      <c r="G91" s="10"/>
      <c r="H91" s="10"/>
      <c r="I91" s="10"/>
      <c r="J91" s="10"/>
      <c r="K91" s="10"/>
      <c r="L91" s="10"/>
    </row>
    <row r="92">
      <c r="A92" s="22"/>
      <c r="B92" s="12"/>
      <c r="C92" s="10"/>
      <c r="D92" s="12"/>
      <c r="E92" s="10"/>
      <c r="F92" s="10"/>
      <c r="G92" s="10"/>
      <c r="H92" s="10"/>
      <c r="I92" s="10"/>
      <c r="J92" s="10"/>
      <c r="K92" s="10"/>
      <c r="L92" s="10"/>
    </row>
    <row r="93">
      <c r="A93" s="22"/>
      <c r="B93" s="12"/>
      <c r="C93" s="10"/>
      <c r="D93" s="12"/>
      <c r="E93" s="10"/>
      <c r="F93" s="10"/>
      <c r="G93" s="10"/>
      <c r="H93" s="10"/>
      <c r="I93" s="10"/>
      <c r="J93" s="10"/>
      <c r="K93" s="10"/>
      <c r="L93" s="10"/>
    </row>
    <row r="94">
      <c r="A94" s="22"/>
      <c r="B94" s="12"/>
      <c r="C94" s="10"/>
      <c r="D94" s="12"/>
      <c r="E94" s="10"/>
      <c r="F94" s="10"/>
      <c r="G94" s="10"/>
      <c r="H94" s="10"/>
      <c r="I94" s="10"/>
      <c r="J94" s="10"/>
      <c r="K94" s="10"/>
      <c r="L94" s="10"/>
    </row>
    <row r="95">
      <c r="A95" s="22"/>
      <c r="B95" s="12"/>
      <c r="C95" s="10"/>
      <c r="D95" s="12"/>
      <c r="E95" s="10"/>
      <c r="F95" s="10"/>
      <c r="G95" s="10"/>
      <c r="H95" s="10"/>
      <c r="I95" s="10"/>
      <c r="J95" s="10"/>
      <c r="K95" s="10"/>
      <c r="L95" s="10"/>
    </row>
    <row r="96">
      <c r="A96" s="22"/>
      <c r="B96" s="12"/>
      <c r="C96" s="10"/>
      <c r="D96" s="12"/>
      <c r="E96" s="10"/>
      <c r="F96" s="10"/>
      <c r="G96" s="10"/>
      <c r="H96" s="10"/>
      <c r="I96" s="10"/>
      <c r="J96" s="10"/>
      <c r="K96" s="10"/>
      <c r="L96" s="10"/>
    </row>
    <row r="97">
      <c r="A97" s="22"/>
      <c r="B97" s="12"/>
      <c r="C97" s="10"/>
      <c r="D97" s="12"/>
      <c r="E97" s="10"/>
      <c r="F97" s="10"/>
      <c r="G97" s="10"/>
      <c r="H97" s="10"/>
      <c r="I97" s="10"/>
      <c r="J97" s="10"/>
      <c r="K97" s="10"/>
      <c r="L97" s="10"/>
    </row>
    <row r="98">
      <c r="A98" s="22"/>
      <c r="B98" s="12"/>
      <c r="C98" s="10"/>
      <c r="D98" s="12"/>
      <c r="E98" s="10"/>
      <c r="F98" s="10"/>
      <c r="G98" s="10"/>
      <c r="H98" s="10"/>
      <c r="I98" s="10"/>
      <c r="J98" s="10"/>
      <c r="K98" s="10"/>
      <c r="L98" s="10"/>
    </row>
    <row r="99">
      <c r="A99" s="22"/>
      <c r="B99" s="12"/>
      <c r="C99" s="10"/>
      <c r="D99" s="12"/>
      <c r="E99" s="10"/>
      <c r="F99" s="10"/>
      <c r="G99" s="10"/>
      <c r="H99" s="10"/>
      <c r="I99" s="10"/>
      <c r="J99" s="10"/>
      <c r="K99" s="10"/>
      <c r="L99" s="10"/>
    </row>
    <row r="100">
      <c r="A100" s="22"/>
      <c r="B100" s="12"/>
      <c r="C100" s="10"/>
      <c r="D100" s="12"/>
      <c r="E100" s="10"/>
      <c r="F100" s="10"/>
      <c r="G100" s="10"/>
      <c r="H100" s="10"/>
      <c r="I100" s="10"/>
      <c r="J100" s="10"/>
      <c r="K100" s="10"/>
      <c r="L100" s="10"/>
    </row>
    <row r="101">
      <c r="A101" s="22"/>
      <c r="B101" s="12"/>
      <c r="C101" s="10"/>
      <c r="D101" s="12"/>
      <c r="E101" s="10"/>
      <c r="F101" s="10"/>
      <c r="G101" s="10"/>
      <c r="H101" s="10"/>
      <c r="I101" s="10"/>
      <c r="J101" s="10"/>
      <c r="K101" s="10"/>
      <c r="L101" s="10"/>
    </row>
    <row r="102">
      <c r="A102" s="22"/>
      <c r="B102" s="12"/>
      <c r="C102" s="10"/>
      <c r="D102" s="12"/>
      <c r="E102" s="10"/>
      <c r="F102" s="10"/>
      <c r="G102" s="10"/>
      <c r="H102" s="10"/>
      <c r="I102" s="10"/>
      <c r="J102" s="10"/>
      <c r="K102" s="10"/>
      <c r="L102" s="10"/>
    </row>
    <row r="103">
      <c r="A103" s="22"/>
      <c r="B103" s="12"/>
      <c r="C103" s="10"/>
      <c r="D103" s="12"/>
      <c r="E103" s="10"/>
      <c r="F103" s="10"/>
      <c r="G103" s="10"/>
      <c r="H103" s="10"/>
      <c r="I103" s="10"/>
      <c r="J103" s="10"/>
      <c r="K103" s="10"/>
      <c r="L103" s="10"/>
    </row>
    <row r="104">
      <c r="A104" s="22"/>
      <c r="B104" s="12"/>
      <c r="C104" s="10"/>
      <c r="D104" s="12"/>
      <c r="E104" s="10"/>
      <c r="F104" s="10"/>
      <c r="G104" s="10"/>
      <c r="H104" s="10"/>
      <c r="I104" s="10"/>
      <c r="J104" s="10"/>
      <c r="K104" s="10"/>
      <c r="L104" s="10"/>
    </row>
    <row r="105">
      <c r="A105" s="22"/>
      <c r="B105" s="12"/>
      <c r="C105" s="10"/>
      <c r="D105" s="12"/>
      <c r="E105" s="10"/>
      <c r="F105" s="10"/>
      <c r="G105" s="10"/>
      <c r="H105" s="10"/>
      <c r="I105" s="10"/>
      <c r="J105" s="10"/>
      <c r="K105" s="10"/>
      <c r="L105" s="10"/>
    </row>
    <row r="106">
      <c r="A106" s="22"/>
      <c r="B106" s="12"/>
      <c r="C106" s="10"/>
      <c r="D106" s="12"/>
      <c r="E106" s="10"/>
      <c r="F106" s="10"/>
      <c r="G106" s="10"/>
      <c r="H106" s="10"/>
      <c r="I106" s="10"/>
      <c r="J106" s="10"/>
      <c r="K106" s="10"/>
      <c r="L106" s="10"/>
    </row>
    <row r="107">
      <c r="A107" s="22"/>
      <c r="B107" s="12"/>
      <c r="C107" s="10"/>
      <c r="D107" s="12"/>
      <c r="E107" s="10"/>
      <c r="F107" s="10"/>
      <c r="G107" s="10"/>
      <c r="H107" s="10"/>
      <c r="I107" s="10"/>
      <c r="J107" s="10"/>
      <c r="K107" s="10"/>
      <c r="L107" s="10"/>
    </row>
    <row r="108">
      <c r="A108" s="22"/>
      <c r="B108" s="12"/>
      <c r="C108" s="10"/>
      <c r="D108" s="12"/>
      <c r="E108" s="10"/>
      <c r="F108" s="10"/>
      <c r="G108" s="10"/>
      <c r="H108" s="10"/>
      <c r="I108" s="10"/>
      <c r="J108" s="10"/>
      <c r="K108" s="10"/>
      <c r="L108" s="10"/>
    </row>
    <row r="109">
      <c r="A109" s="22"/>
      <c r="B109" s="12"/>
      <c r="C109" s="10"/>
      <c r="D109" s="12"/>
      <c r="E109" s="10"/>
      <c r="F109" s="10"/>
      <c r="G109" s="10"/>
      <c r="H109" s="10"/>
      <c r="I109" s="10"/>
      <c r="J109" s="10"/>
      <c r="K109" s="10"/>
      <c r="L109" s="10"/>
    </row>
    <row r="110">
      <c r="A110" s="22"/>
      <c r="B110" s="12"/>
      <c r="C110" s="10"/>
      <c r="D110" s="12"/>
      <c r="E110" s="10"/>
      <c r="F110" s="10"/>
      <c r="G110" s="10"/>
      <c r="H110" s="10"/>
      <c r="I110" s="10"/>
      <c r="J110" s="10"/>
      <c r="K110" s="10"/>
      <c r="L110" s="10"/>
    </row>
    <row r="111">
      <c r="A111" s="22"/>
      <c r="B111" s="12"/>
      <c r="C111" s="10"/>
      <c r="D111" s="12"/>
      <c r="E111" s="10"/>
      <c r="F111" s="10"/>
      <c r="G111" s="10"/>
      <c r="H111" s="10"/>
      <c r="I111" s="10"/>
      <c r="J111" s="10"/>
      <c r="K111" s="10"/>
      <c r="L111" s="10"/>
    </row>
    <row r="112">
      <c r="A112" s="22"/>
      <c r="B112" s="12"/>
      <c r="C112" s="10"/>
      <c r="D112" s="12"/>
      <c r="E112" s="10"/>
      <c r="F112" s="10"/>
      <c r="G112" s="10"/>
      <c r="H112" s="10"/>
      <c r="I112" s="10"/>
      <c r="J112" s="10"/>
      <c r="K112" s="10"/>
      <c r="L112" s="10"/>
    </row>
    <row r="113">
      <c r="A113" s="22"/>
      <c r="B113" s="12"/>
      <c r="C113" s="10"/>
      <c r="D113" s="12"/>
      <c r="E113" s="10"/>
      <c r="F113" s="10"/>
      <c r="G113" s="10"/>
      <c r="H113" s="10"/>
      <c r="I113" s="10"/>
      <c r="J113" s="10"/>
      <c r="K113" s="10"/>
      <c r="L113" s="10"/>
    </row>
    <row r="114">
      <c r="A114" s="22"/>
      <c r="B114" s="12"/>
      <c r="C114" s="10"/>
      <c r="D114" s="12"/>
      <c r="E114" s="10"/>
      <c r="F114" s="10"/>
      <c r="G114" s="10"/>
      <c r="H114" s="10"/>
      <c r="I114" s="10"/>
      <c r="J114" s="10"/>
      <c r="K114" s="10"/>
      <c r="L114" s="10"/>
    </row>
    <row r="115">
      <c r="A115" s="22"/>
      <c r="B115" s="12"/>
      <c r="C115" s="10"/>
      <c r="D115" s="12"/>
      <c r="E115" s="10"/>
      <c r="F115" s="10"/>
      <c r="G115" s="10"/>
      <c r="H115" s="10"/>
      <c r="I115" s="10"/>
      <c r="J115" s="10"/>
      <c r="K115" s="10"/>
      <c r="L115" s="10"/>
    </row>
    <row r="116">
      <c r="A116" s="22"/>
      <c r="B116" s="12"/>
      <c r="C116" s="10"/>
      <c r="D116" s="12"/>
      <c r="E116" s="10"/>
      <c r="F116" s="10"/>
      <c r="G116" s="10"/>
      <c r="H116" s="10"/>
      <c r="I116" s="10"/>
      <c r="J116" s="10"/>
      <c r="K116" s="10"/>
      <c r="L116" s="10"/>
    </row>
    <row r="117">
      <c r="A117" s="22"/>
      <c r="B117" s="12"/>
      <c r="C117" s="10"/>
      <c r="D117" s="12"/>
      <c r="E117" s="10"/>
      <c r="F117" s="10"/>
      <c r="G117" s="10"/>
      <c r="H117" s="10"/>
      <c r="I117" s="10"/>
      <c r="J117" s="10"/>
      <c r="K117" s="10"/>
      <c r="L117" s="10"/>
    </row>
    <row r="118">
      <c r="A118" s="22"/>
      <c r="B118" s="12"/>
      <c r="C118" s="10"/>
      <c r="D118" s="12"/>
      <c r="E118" s="10"/>
      <c r="F118" s="10"/>
      <c r="G118" s="10"/>
      <c r="H118" s="10"/>
      <c r="I118" s="10"/>
      <c r="J118" s="10"/>
      <c r="K118" s="10"/>
      <c r="L118" s="10"/>
    </row>
    <row r="119">
      <c r="A119" s="22"/>
      <c r="B119" s="12"/>
      <c r="C119" s="10"/>
      <c r="D119" s="12"/>
      <c r="E119" s="10"/>
      <c r="F119" s="10"/>
      <c r="G119" s="10"/>
      <c r="H119" s="10"/>
      <c r="I119" s="10"/>
      <c r="J119" s="10"/>
      <c r="K119" s="10"/>
      <c r="L119" s="10"/>
    </row>
    <row r="120">
      <c r="A120" s="22"/>
      <c r="B120" s="12"/>
      <c r="C120" s="10"/>
      <c r="D120" s="12"/>
      <c r="E120" s="10"/>
      <c r="F120" s="10"/>
      <c r="G120" s="10"/>
      <c r="H120" s="10"/>
      <c r="I120" s="10"/>
      <c r="J120" s="10"/>
      <c r="K120" s="10"/>
      <c r="L120" s="10"/>
    </row>
    <row r="121">
      <c r="A121" s="22"/>
      <c r="B121" s="12"/>
      <c r="C121" s="10"/>
      <c r="D121" s="12"/>
      <c r="E121" s="10"/>
      <c r="F121" s="10"/>
      <c r="G121" s="10"/>
      <c r="H121" s="10"/>
      <c r="I121" s="10"/>
      <c r="J121" s="10"/>
      <c r="K121" s="10"/>
      <c r="L121" s="10"/>
    </row>
    <row r="122">
      <c r="A122" s="22"/>
      <c r="B122" s="12"/>
      <c r="C122" s="10"/>
      <c r="D122" s="12"/>
      <c r="E122" s="10"/>
      <c r="F122" s="10"/>
      <c r="G122" s="10"/>
      <c r="H122" s="10"/>
      <c r="I122" s="10"/>
      <c r="J122" s="10"/>
      <c r="K122" s="10"/>
      <c r="L122" s="10"/>
    </row>
    <row r="123">
      <c r="A123" s="22"/>
      <c r="B123" s="12"/>
      <c r="C123" s="10"/>
      <c r="D123" s="12"/>
      <c r="E123" s="10"/>
      <c r="F123" s="10"/>
      <c r="G123" s="10"/>
      <c r="H123" s="10"/>
      <c r="I123" s="10"/>
      <c r="J123" s="10"/>
      <c r="K123" s="10"/>
      <c r="L123" s="10"/>
    </row>
    <row r="124">
      <c r="A124" s="22"/>
      <c r="B124" s="12"/>
      <c r="C124" s="10"/>
      <c r="D124" s="12"/>
      <c r="E124" s="10"/>
      <c r="F124" s="10"/>
      <c r="G124" s="10"/>
      <c r="H124" s="10"/>
      <c r="I124" s="10"/>
      <c r="J124" s="10"/>
      <c r="K124" s="10"/>
      <c r="L124" s="10"/>
    </row>
    <row r="125">
      <c r="A125" s="22"/>
      <c r="B125" s="12"/>
      <c r="C125" s="10"/>
      <c r="D125" s="12"/>
      <c r="E125" s="10"/>
      <c r="F125" s="10"/>
      <c r="G125" s="10"/>
      <c r="H125" s="10"/>
      <c r="I125" s="10"/>
      <c r="J125" s="10"/>
      <c r="K125" s="10"/>
      <c r="L125" s="10"/>
    </row>
    <row r="126">
      <c r="A126" s="22"/>
      <c r="B126" s="12"/>
      <c r="C126" s="10"/>
      <c r="D126" s="12"/>
      <c r="E126" s="10"/>
      <c r="F126" s="10"/>
      <c r="G126" s="10"/>
      <c r="H126" s="10"/>
      <c r="I126" s="10"/>
      <c r="J126" s="10"/>
      <c r="K126" s="10"/>
      <c r="L126" s="10"/>
    </row>
    <row r="127">
      <c r="A127" s="22"/>
      <c r="B127" s="12"/>
      <c r="C127" s="10"/>
      <c r="D127" s="12"/>
      <c r="E127" s="10"/>
      <c r="F127" s="10"/>
      <c r="G127" s="10"/>
      <c r="H127" s="10"/>
      <c r="I127" s="10"/>
      <c r="J127" s="10"/>
      <c r="K127" s="10"/>
      <c r="L127" s="10"/>
    </row>
    <row r="128">
      <c r="A128" s="22"/>
      <c r="B128" s="12"/>
      <c r="C128" s="10"/>
      <c r="D128" s="12"/>
      <c r="E128" s="10"/>
      <c r="F128" s="10"/>
      <c r="G128" s="10"/>
      <c r="H128" s="10"/>
      <c r="I128" s="10"/>
      <c r="J128" s="10"/>
      <c r="K128" s="10"/>
      <c r="L128" s="10"/>
    </row>
    <row r="129">
      <c r="A129" s="22"/>
      <c r="B129" s="12"/>
      <c r="C129" s="10"/>
      <c r="D129" s="12"/>
      <c r="E129" s="10"/>
      <c r="F129" s="10"/>
      <c r="G129" s="10"/>
      <c r="H129" s="10"/>
      <c r="I129" s="10"/>
      <c r="J129" s="10"/>
      <c r="K129" s="10"/>
      <c r="L129" s="10"/>
    </row>
    <row r="130">
      <c r="A130" s="22"/>
      <c r="B130" s="12"/>
      <c r="C130" s="10"/>
      <c r="D130" s="12"/>
      <c r="E130" s="10"/>
      <c r="F130" s="10"/>
      <c r="G130" s="10"/>
      <c r="H130" s="10"/>
      <c r="I130" s="10"/>
      <c r="J130" s="10"/>
      <c r="K130" s="10"/>
      <c r="L130" s="10"/>
    </row>
    <row r="131">
      <c r="A131" s="22"/>
      <c r="B131" s="12"/>
      <c r="C131" s="10"/>
      <c r="D131" s="12"/>
      <c r="E131" s="10"/>
      <c r="F131" s="10"/>
      <c r="G131" s="10"/>
      <c r="H131" s="10"/>
      <c r="I131" s="10"/>
      <c r="J131" s="10"/>
      <c r="K131" s="10"/>
      <c r="L131" s="10"/>
    </row>
    <row r="132">
      <c r="A132" s="22"/>
      <c r="B132" s="12"/>
      <c r="C132" s="10"/>
      <c r="D132" s="12"/>
      <c r="E132" s="10"/>
      <c r="F132" s="10"/>
      <c r="G132" s="10"/>
      <c r="H132" s="10"/>
      <c r="I132" s="10"/>
      <c r="J132" s="10"/>
      <c r="K132" s="10"/>
      <c r="L132" s="10"/>
    </row>
    <row r="133">
      <c r="A133" s="22"/>
      <c r="B133" s="12"/>
      <c r="C133" s="10"/>
      <c r="D133" s="12"/>
      <c r="E133" s="10"/>
      <c r="F133" s="10"/>
      <c r="G133" s="10"/>
      <c r="H133" s="10"/>
      <c r="I133" s="10"/>
      <c r="J133" s="10"/>
      <c r="K133" s="10"/>
      <c r="L133" s="10"/>
    </row>
    <row r="134">
      <c r="A134" s="22"/>
      <c r="B134" s="12"/>
      <c r="C134" s="10"/>
      <c r="D134" s="12"/>
      <c r="E134" s="10"/>
      <c r="F134" s="10"/>
      <c r="G134" s="10"/>
      <c r="H134" s="10"/>
      <c r="I134" s="10"/>
      <c r="J134" s="10"/>
      <c r="K134" s="10"/>
      <c r="L134" s="10"/>
    </row>
    <row r="135">
      <c r="A135" s="22"/>
      <c r="B135" s="12"/>
      <c r="C135" s="10"/>
      <c r="D135" s="12"/>
      <c r="E135" s="10"/>
      <c r="F135" s="10"/>
      <c r="G135" s="10"/>
      <c r="H135" s="10"/>
      <c r="I135" s="10"/>
      <c r="J135" s="10"/>
      <c r="K135" s="10"/>
      <c r="L135" s="10"/>
    </row>
    <row r="136">
      <c r="A136" s="22"/>
      <c r="B136" s="12"/>
      <c r="C136" s="10"/>
      <c r="D136" s="12"/>
      <c r="E136" s="10"/>
      <c r="F136" s="10"/>
      <c r="G136" s="10"/>
      <c r="H136" s="10"/>
      <c r="I136" s="10"/>
      <c r="J136" s="10"/>
      <c r="K136" s="10"/>
      <c r="L136" s="10"/>
    </row>
    <row r="137">
      <c r="A137" s="22"/>
      <c r="B137" s="12"/>
      <c r="C137" s="10"/>
      <c r="D137" s="12"/>
      <c r="E137" s="10"/>
      <c r="F137" s="10"/>
      <c r="G137" s="10"/>
      <c r="H137" s="10"/>
      <c r="I137" s="10"/>
      <c r="J137" s="10"/>
      <c r="K137" s="10"/>
      <c r="L137" s="10"/>
    </row>
    <row r="138">
      <c r="A138" s="22"/>
      <c r="B138" s="12"/>
      <c r="C138" s="10"/>
      <c r="D138" s="12"/>
      <c r="E138" s="10"/>
      <c r="F138" s="10"/>
      <c r="G138" s="10"/>
      <c r="H138" s="10"/>
      <c r="I138" s="10"/>
      <c r="J138" s="10"/>
      <c r="K138" s="10"/>
      <c r="L138" s="10"/>
    </row>
    <row r="139">
      <c r="A139" s="22"/>
      <c r="B139" s="12"/>
      <c r="C139" s="10"/>
      <c r="D139" s="12"/>
      <c r="E139" s="10"/>
      <c r="F139" s="10"/>
      <c r="G139" s="10"/>
      <c r="H139" s="10"/>
      <c r="I139" s="10"/>
      <c r="J139" s="10"/>
      <c r="K139" s="10"/>
      <c r="L139" s="10"/>
    </row>
    <row r="140">
      <c r="A140" s="22"/>
      <c r="B140" s="12"/>
      <c r="C140" s="10"/>
      <c r="D140" s="12"/>
      <c r="E140" s="10"/>
      <c r="F140" s="10"/>
      <c r="G140" s="10"/>
      <c r="H140" s="10"/>
      <c r="I140" s="10"/>
      <c r="J140" s="10"/>
      <c r="K140" s="10"/>
      <c r="L140" s="10"/>
    </row>
    <row r="141">
      <c r="A141" s="22"/>
      <c r="B141" s="12"/>
      <c r="C141" s="10"/>
      <c r="D141" s="12"/>
      <c r="E141" s="10"/>
      <c r="F141" s="10"/>
      <c r="G141" s="10"/>
      <c r="H141" s="10"/>
      <c r="I141" s="10"/>
      <c r="J141" s="10"/>
      <c r="K141" s="10"/>
      <c r="L141" s="10"/>
    </row>
    <row r="142">
      <c r="A142" s="22"/>
      <c r="B142" s="12"/>
      <c r="C142" s="10"/>
      <c r="D142" s="12"/>
      <c r="E142" s="10"/>
      <c r="F142" s="10"/>
      <c r="G142" s="10"/>
      <c r="H142" s="10"/>
      <c r="I142" s="10"/>
      <c r="J142" s="10"/>
      <c r="K142" s="10"/>
      <c r="L142" s="10"/>
    </row>
    <row r="143">
      <c r="A143" s="22"/>
      <c r="B143" s="12"/>
      <c r="C143" s="10"/>
      <c r="D143" s="12"/>
      <c r="E143" s="10"/>
      <c r="F143" s="10"/>
      <c r="G143" s="10"/>
      <c r="H143" s="10"/>
      <c r="I143" s="10"/>
      <c r="J143" s="10"/>
      <c r="K143" s="10"/>
      <c r="L143" s="10"/>
    </row>
    <row r="144">
      <c r="A144" s="22"/>
      <c r="B144" s="12"/>
      <c r="C144" s="10"/>
      <c r="D144" s="12"/>
      <c r="E144" s="10"/>
      <c r="F144" s="10"/>
      <c r="G144" s="10"/>
      <c r="H144" s="10"/>
      <c r="I144" s="10"/>
      <c r="J144" s="10"/>
      <c r="K144" s="10"/>
      <c r="L144" s="10"/>
    </row>
    <row r="145">
      <c r="A145" s="22"/>
      <c r="B145" s="12"/>
      <c r="C145" s="10"/>
      <c r="D145" s="12"/>
      <c r="E145" s="10"/>
      <c r="F145" s="10"/>
      <c r="G145" s="10"/>
      <c r="H145" s="10"/>
      <c r="I145" s="10"/>
      <c r="J145" s="10"/>
      <c r="K145" s="10"/>
      <c r="L145" s="10"/>
    </row>
    <row r="146">
      <c r="A146" s="22"/>
      <c r="B146" s="12"/>
      <c r="C146" s="10"/>
      <c r="D146" s="12"/>
      <c r="E146" s="10"/>
      <c r="F146" s="10"/>
      <c r="G146" s="10"/>
      <c r="H146" s="10"/>
      <c r="I146" s="10"/>
      <c r="J146" s="10"/>
      <c r="K146" s="10"/>
      <c r="L146" s="10"/>
    </row>
    <row r="147">
      <c r="A147" s="22"/>
      <c r="B147" s="12"/>
      <c r="C147" s="10"/>
      <c r="D147" s="12"/>
      <c r="E147" s="10"/>
      <c r="F147" s="10"/>
      <c r="G147" s="10"/>
      <c r="H147" s="10"/>
      <c r="I147" s="10"/>
      <c r="J147" s="10"/>
      <c r="K147" s="10"/>
      <c r="L147" s="10"/>
    </row>
    <row r="148">
      <c r="A148" s="22"/>
      <c r="B148" s="12"/>
      <c r="C148" s="10"/>
      <c r="D148" s="12"/>
      <c r="E148" s="10"/>
      <c r="F148" s="10"/>
      <c r="G148" s="10"/>
      <c r="H148" s="10"/>
      <c r="I148" s="10"/>
      <c r="J148" s="10"/>
      <c r="K148" s="10"/>
      <c r="L148" s="10"/>
    </row>
    <row r="149">
      <c r="A149" s="22"/>
      <c r="B149" s="12"/>
      <c r="C149" s="10"/>
      <c r="D149" s="12"/>
      <c r="E149" s="10"/>
      <c r="F149" s="10"/>
      <c r="G149" s="10"/>
      <c r="H149" s="10"/>
      <c r="I149" s="10"/>
      <c r="J149" s="10"/>
      <c r="K149" s="10"/>
      <c r="L149" s="10"/>
    </row>
    <row r="150">
      <c r="A150" s="22"/>
      <c r="B150" s="12"/>
      <c r="C150" s="10"/>
      <c r="D150" s="12"/>
      <c r="E150" s="10"/>
      <c r="F150" s="10"/>
      <c r="G150" s="10"/>
      <c r="H150" s="10"/>
      <c r="I150" s="10"/>
      <c r="J150" s="10"/>
      <c r="K150" s="10"/>
      <c r="L150" s="10"/>
    </row>
    <row r="151">
      <c r="A151" s="22"/>
      <c r="B151" s="12"/>
      <c r="C151" s="10"/>
      <c r="D151" s="12"/>
      <c r="E151" s="10"/>
      <c r="F151" s="10"/>
      <c r="G151" s="10"/>
      <c r="H151" s="10"/>
      <c r="I151" s="10"/>
      <c r="J151" s="10"/>
      <c r="K151" s="10"/>
      <c r="L151" s="10"/>
    </row>
    <row r="152">
      <c r="A152" s="22"/>
      <c r="B152" s="12"/>
      <c r="C152" s="10"/>
      <c r="D152" s="12"/>
      <c r="E152" s="10"/>
      <c r="F152" s="10"/>
      <c r="G152" s="10"/>
      <c r="H152" s="10"/>
      <c r="I152" s="10"/>
      <c r="J152" s="10"/>
      <c r="K152" s="10"/>
      <c r="L152" s="10"/>
    </row>
    <row r="153">
      <c r="A153" s="22"/>
      <c r="B153" s="12"/>
      <c r="C153" s="10"/>
      <c r="D153" s="12"/>
      <c r="E153" s="10"/>
      <c r="F153" s="10"/>
      <c r="G153" s="10"/>
      <c r="H153" s="10"/>
      <c r="I153" s="10"/>
      <c r="J153" s="10"/>
      <c r="K153" s="10"/>
      <c r="L153" s="10"/>
    </row>
    <row r="154">
      <c r="A154" s="22"/>
      <c r="B154" s="12"/>
      <c r="C154" s="10"/>
      <c r="D154" s="12"/>
      <c r="E154" s="10"/>
      <c r="F154" s="10"/>
      <c r="G154" s="10"/>
      <c r="H154" s="10"/>
      <c r="I154" s="10"/>
      <c r="J154" s="10"/>
      <c r="K154" s="10"/>
      <c r="L154" s="10"/>
    </row>
    <row r="155">
      <c r="A155" s="22"/>
      <c r="B155" s="12"/>
      <c r="C155" s="10"/>
      <c r="D155" s="12"/>
      <c r="E155" s="10"/>
      <c r="F155" s="10"/>
      <c r="G155" s="10"/>
      <c r="H155" s="10"/>
      <c r="I155" s="10"/>
      <c r="J155" s="10"/>
      <c r="K155" s="10"/>
      <c r="L155" s="10"/>
    </row>
    <row r="156">
      <c r="A156" s="22"/>
      <c r="B156" s="12"/>
      <c r="C156" s="10"/>
      <c r="D156" s="12"/>
      <c r="E156" s="10"/>
      <c r="F156" s="10"/>
      <c r="G156" s="10"/>
      <c r="H156" s="10"/>
      <c r="I156" s="10"/>
      <c r="J156" s="10"/>
      <c r="K156" s="10"/>
      <c r="L156" s="10"/>
    </row>
    <row r="157">
      <c r="A157" s="22"/>
      <c r="B157" s="12"/>
      <c r="C157" s="10"/>
      <c r="D157" s="12"/>
      <c r="E157" s="10"/>
      <c r="F157" s="10"/>
      <c r="G157" s="10"/>
      <c r="H157" s="10"/>
      <c r="I157" s="10"/>
      <c r="J157" s="10"/>
      <c r="K157" s="10"/>
      <c r="L157" s="10"/>
    </row>
    <row r="158">
      <c r="A158" s="22"/>
      <c r="B158" s="12"/>
      <c r="C158" s="10"/>
      <c r="D158" s="12"/>
      <c r="E158" s="10"/>
      <c r="F158" s="10"/>
      <c r="G158" s="10"/>
      <c r="H158" s="10"/>
      <c r="I158" s="10"/>
      <c r="J158" s="10"/>
      <c r="K158" s="10"/>
      <c r="L158" s="10"/>
    </row>
    <row r="159">
      <c r="A159" s="22"/>
      <c r="B159" s="12"/>
      <c r="C159" s="10"/>
      <c r="D159" s="12"/>
      <c r="E159" s="10"/>
      <c r="F159" s="10"/>
      <c r="G159" s="10"/>
      <c r="H159" s="10"/>
      <c r="I159" s="10"/>
      <c r="J159" s="10"/>
      <c r="K159" s="10"/>
      <c r="L159" s="10"/>
    </row>
    <row r="160">
      <c r="A160" s="22"/>
      <c r="B160" s="12"/>
      <c r="C160" s="10"/>
      <c r="D160" s="12"/>
      <c r="E160" s="10"/>
      <c r="F160" s="10"/>
      <c r="G160" s="10"/>
      <c r="H160" s="10"/>
      <c r="I160" s="10"/>
      <c r="J160" s="10"/>
      <c r="K160" s="10"/>
      <c r="L160" s="10"/>
    </row>
    <row r="161">
      <c r="A161" s="22"/>
      <c r="B161" s="12"/>
      <c r="C161" s="10"/>
      <c r="D161" s="12"/>
      <c r="E161" s="10"/>
      <c r="F161" s="10"/>
      <c r="G161" s="10"/>
      <c r="H161" s="10"/>
      <c r="I161" s="10"/>
      <c r="J161" s="10"/>
      <c r="K161" s="10"/>
      <c r="L161" s="10"/>
    </row>
    <row r="162">
      <c r="A162" s="22"/>
      <c r="B162" s="12"/>
      <c r="C162" s="10"/>
      <c r="D162" s="12"/>
      <c r="E162" s="10"/>
      <c r="F162" s="10"/>
      <c r="G162" s="10"/>
      <c r="H162" s="10"/>
      <c r="I162" s="10"/>
      <c r="J162" s="10"/>
      <c r="K162" s="10"/>
      <c r="L162" s="10"/>
    </row>
    <row r="163">
      <c r="A163" s="22"/>
      <c r="B163" s="12"/>
      <c r="C163" s="10"/>
      <c r="D163" s="12"/>
      <c r="E163" s="10"/>
      <c r="F163" s="10"/>
      <c r="G163" s="10"/>
      <c r="H163" s="10"/>
      <c r="I163" s="10"/>
      <c r="J163" s="10"/>
      <c r="K163" s="10"/>
      <c r="L163" s="10"/>
    </row>
    <row r="164">
      <c r="A164" s="22"/>
      <c r="B164" s="12"/>
      <c r="C164" s="10"/>
      <c r="D164" s="12"/>
      <c r="E164" s="10"/>
      <c r="F164" s="10"/>
      <c r="G164" s="10"/>
      <c r="H164" s="10"/>
      <c r="I164" s="10"/>
      <c r="J164" s="10"/>
      <c r="K164" s="10"/>
      <c r="L164" s="10"/>
    </row>
    <row r="165">
      <c r="A165" s="22"/>
      <c r="B165" s="12"/>
      <c r="C165" s="10"/>
      <c r="D165" s="12"/>
      <c r="E165" s="10"/>
      <c r="F165" s="10"/>
      <c r="G165" s="10"/>
      <c r="H165" s="10"/>
      <c r="I165" s="10"/>
      <c r="J165" s="10"/>
      <c r="K165" s="10"/>
      <c r="L165" s="10"/>
    </row>
    <row r="166">
      <c r="A166" s="22"/>
      <c r="B166" s="12"/>
      <c r="C166" s="10"/>
      <c r="D166" s="12"/>
      <c r="E166" s="10"/>
      <c r="F166" s="10"/>
      <c r="G166" s="10"/>
      <c r="H166" s="10"/>
      <c r="I166" s="10"/>
      <c r="J166" s="10"/>
      <c r="K166" s="10"/>
      <c r="L166" s="10"/>
    </row>
    <row r="167">
      <c r="A167" s="22"/>
      <c r="B167" s="12"/>
      <c r="C167" s="10"/>
      <c r="D167" s="12"/>
      <c r="E167" s="10"/>
      <c r="F167" s="10"/>
      <c r="G167" s="10"/>
      <c r="H167" s="10"/>
      <c r="I167" s="10"/>
      <c r="J167" s="10"/>
      <c r="K167" s="10"/>
      <c r="L167" s="10"/>
    </row>
    <row r="168">
      <c r="A168" s="22"/>
      <c r="B168" s="12"/>
      <c r="C168" s="10"/>
      <c r="D168" s="12"/>
      <c r="E168" s="10"/>
      <c r="F168" s="10"/>
      <c r="G168" s="10"/>
      <c r="H168" s="10"/>
      <c r="I168" s="10"/>
      <c r="J168" s="10"/>
      <c r="K168" s="10"/>
      <c r="L168" s="10"/>
    </row>
    <row r="169">
      <c r="A169" s="22"/>
      <c r="B169" s="12"/>
      <c r="C169" s="10"/>
      <c r="D169" s="12"/>
      <c r="E169" s="10"/>
      <c r="F169" s="10"/>
      <c r="G169" s="10"/>
      <c r="H169" s="10"/>
      <c r="I169" s="10"/>
      <c r="J169" s="10"/>
      <c r="K169" s="10"/>
      <c r="L169" s="10"/>
    </row>
    <row r="170">
      <c r="A170" s="22"/>
      <c r="B170" s="12"/>
      <c r="C170" s="10"/>
      <c r="D170" s="12"/>
      <c r="E170" s="10"/>
      <c r="F170" s="10"/>
      <c r="G170" s="10"/>
      <c r="H170" s="10"/>
      <c r="I170" s="10"/>
      <c r="J170" s="10"/>
      <c r="K170" s="10"/>
      <c r="L170" s="10"/>
    </row>
    <row r="171">
      <c r="A171" s="22"/>
      <c r="B171" s="12"/>
      <c r="C171" s="10"/>
      <c r="D171" s="12"/>
      <c r="E171" s="10"/>
      <c r="F171" s="10"/>
      <c r="G171" s="10"/>
      <c r="H171" s="10"/>
      <c r="I171" s="10"/>
      <c r="J171" s="10"/>
      <c r="K171" s="10"/>
      <c r="L171" s="10"/>
    </row>
    <row r="172">
      <c r="A172" s="22"/>
      <c r="B172" s="12"/>
      <c r="C172" s="10"/>
      <c r="D172" s="12"/>
      <c r="E172" s="10"/>
      <c r="F172" s="10"/>
      <c r="G172" s="10"/>
      <c r="H172" s="10"/>
      <c r="I172" s="10"/>
      <c r="J172" s="10"/>
      <c r="K172" s="10"/>
      <c r="L172" s="10"/>
    </row>
    <row r="173">
      <c r="A173" s="22"/>
      <c r="B173" s="12"/>
      <c r="C173" s="10"/>
      <c r="D173" s="12"/>
      <c r="E173" s="10"/>
      <c r="F173" s="10"/>
      <c r="G173" s="10"/>
      <c r="H173" s="10"/>
      <c r="I173" s="10"/>
      <c r="J173" s="10"/>
      <c r="K173" s="10"/>
      <c r="L173" s="10"/>
    </row>
    <row r="174">
      <c r="A174" s="22"/>
      <c r="B174" s="12"/>
      <c r="C174" s="10"/>
      <c r="D174" s="12"/>
      <c r="E174" s="10"/>
      <c r="F174" s="10"/>
      <c r="G174" s="10"/>
      <c r="H174" s="10"/>
      <c r="I174" s="10"/>
      <c r="J174" s="10"/>
      <c r="K174" s="10"/>
      <c r="L174" s="10"/>
    </row>
    <row r="175">
      <c r="A175" s="22"/>
      <c r="B175" s="12"/>
      <c r="C175" s="10"/>
      <c r="D175" s="12"/>
      <c r="E175" s="10"/>
      <c r="F175" s="10"/>
      <c r="G175" s="10"/>
      <c r="H175" s="10"/>
      <c r="I175" s="10"/>
      <c r="J175" s="10"/>
      <c r="K175" s="10"/>
      <c r="L175" s="10"/>
    </row>
    <row r="176">
      <c r="A176" s="22"/>
      <c r="B176" s="12"/>
      <c r="C176" s="10"/>
      <c r="D176" s="12"/>
      <c r="E176" s="10"/>
      <c r="F176" s="10"/>
      <c r="G176" s="10"/>
      <c r="H176" s="10"/>
      <c r="I176" s="10"/>
      <c r="J176" s="10"/>
      <c r="K176" s="10"/>
      <c r="L176" s="10"/>
    </row>
    <row r="177">
      <c r="A177" s="22"/>
      <c r="B177" s="12"/>
      <c r="C177" s="10"/>
      <c r="D177" s="12"/>
      <c r="E177" s="10"/>
      <c r="F177" s="10"/>
      <c r="G177" s="10"/>
      <c r="H177" s="10"/>
      <c r="I177" s="10"/>
      <c r="J177" s="10"/>
      <c r="K177" s="10"/>
      <c r="L177" s="10"/>
    </row>
    <row r="178">
      <c r="A178" s="22"/>
      <c r="B178" s="12"/>
      <c r="C178" s="10"/>
      <c r="D178" s="12"/>
      <c r="E178" s="10"/>
      <c r="F178" s="10"/>
      <c r="G178" s="10"/>
      <c r="H178" s="10"/>
      <c r="I178" s="10"/>
      <c r="J178" s="10"/>
      <c r="K178" s="10"/>
      <c r="L178" s="10"/>
    </row>
    <row r="179">
      <c r="A179" s="22"/>
      <c r="B179" s="12"/>
      <c r="C179" s="10"/>
      <c r="D179" s="12"/>
      <c r="E179" s="10"/>
      <c r="F179" s="10"/>
      <c r="G179" s="10"/>
      <c r="H179" s="10"/>
      <c r="I179" s="10"/>
      <c r="J179" s="10"/>
      <c r="K179" s="10"/>
      <c r="L179" s="10"/>
    </row>
    <row r="180">
      <c r="A180" s="22"/>
      <c r="B180" s="12"/>
      <c r="C180" s="10"/>
      <c r="D180" s="12"/>
      <c r="E180" s="10"/>
      <c r="F180" s="10"/>
      <c r="G180" s="10"/>
      <c r="H180" s="10"/>
      <c r="I180" s="10"/>
      <c r="J180" s="10"/>
      <c r="K180" s="10"/>
      <c r="L180" s="10"/>
    </row>
    <row r="181">
      <c r="A181" s="22"/>
      <c r="B181" s="12"/>
      <c r="C181" s="10"/>
      <c r="D181" s="12"/>
      <c r="E181" s="10"/>
      <c r="F181" s="10"/>
      <c r="G181" s="10"/>
      <c r="H181" s="10"/>
      <c r="I181" s="10"/>
      <c r="J181" s="10"/>
      <c r="K181" s="10"/>
      <c r="L181" s="10"/>
    </row>
    <row r="182">
      <c r="A182" s="22"/>
      <c r="B182" s="12"/>
      <c r="C182" s="10"/>
      <c r="D182" s="12"/>
      <c r="E182" s="10"/>
      <c r="F182" s="10"/>
      <c r="G182" s="10"/>
      <c r="H182" s="10"/>
      <c r="I182" s="10"/>
      <c r="J182" s="10"/>
      <c r="K182" s="10"/>
      <c r="L182" s="10"/>
    </row>
    <row r="183">
      <c r="A183" s="22"/>
      <c r="B183" s="12"/>
      <c r="C183" s="10"/>
      <c r="D183" s="12"/>
      <c r="E183" s="10"/>
      <c r="F183" s="10"/>
      <c r="G183" s="10"/>
      <c r="H183" s="10"/>
      <c r="I183" s="10"/>
      <c r="J183" s="10"/>
      <c r="K183" s="10"/>
      <c r="L183" s="10"/>
    </row>
    <row r="184">
      <c r="A184" s="22"/>
      <c r="B184" s="12"/>
      <c r="C184" s="10"/>
      <c r="D184" s="12"/>
      <c r="E184" s="10"/>
      <c r="F184" s="10"/>
      <c r="G184" s="10"/>
      <c r="H184" s="10"/>
      <c r="I184" s="10"/>
      <c r="J184" s="10"/>
      <c r="K184" s="10"/>
      <c r="L184" s="10"/>
    </row>
    <row r="185">
      <c r="A185" s="22"/>
      <c r="B185" s="12"/>
      <c r="C185" s="10"/>
      <c r="D185" s="12"/>
      <c r="E185" s="10"/>
      <c r="F185" s="10"/>
      <c r="G185" s="10"/>
      <c r="H185" s="10"/>
      <c r="I185" s="10"/>
      <c r="J185" s="10"/>
      <c r="K185" s="10"/>
      <c r="L185" s="10"/>
    </row>
    <row r="186">
      <c r="A186" s="22"/>
      <c r="B186" s="12"/>
      <c r="C186" s="10"/>
      <c r="D186" s="12"/>
      <c r="E186" s="10"/>
      <c r="F186" s="10"/>
      <c r="G186" s="10"/>
      <c r="H186" s="10"/>
      <c r="I186" s="10"/>
      <c r="J186" s="10"/>
      <c r="K186" s="10"/>
      <c r="L186" s="10"/>
    </row>
    <row r="187">
      <c r="A187" s="22"/>
      <c r="B187" s="12"/>
      <c r="C187" s="10"/>
      <c r="D187" s="12"/>
      <c r="E187" s="10"/>
      <c r="F187" s="10"/>
      <c r="G187" s="10"/>
      <c r="H187" s="10"/>
      <c r="I187" s="10"/>
      <c r="J187" s="10"/>
      <c r="K187" s="10"/>
      <c r="L187" s="10"/>
    </row>
    <row r="188">
      <c r="A188" s="22"/>
      <c r="B188" s="12"/>
      <c r="C188" s="10"/>
      <c r="D188" s="12"/>
      <c r="E188" s="10"/>
      <c r="F188" s="10"/>
      <c r="G188" s="10"/>
      <c r="H188" s="10"/>
      <c r="I188" s="10"/>
      <c r="J188" s="10"/>
      <c r="K188" s="10"/>
      <c r="L188" s="10"/>
    </row>
    <row r="189">
      <c r="A189" s="22"/>
      <c r="B189" s="12"/>
      <c r="C189" s="10"/>
      <c r="D189" s="12"/>
      <c r="E189" s="10"/>
      <c r="F189" s="10"/>
      <c r="G189" s="10"/>
      <c r="H189" s="10"/>
      <c r="I189" s="10"/>
      <c r="J189" s="10"/>
      <c r="K189" s="10"/>
      <c r="L189" s="10"/>
    </row>
    <row r="190">
      <c r="A190" s="22"/>
      <c r="B190" s="12"/>
      <c r="C190" s="10"/>
      <c r="D190" s="12"/>
      <c r="E190" s="10"/>
      <c r="F190" s="10"/>
      <c r="G190" s="10"/>
      <c r="H190" s="10"/>
      <c r="I190" s="10"/>
      <c r="J190" s="10"/>
      <c r="K190" s="10"/>
      <c r="L190" s="10"/>
    </row>
    <row r="191">
      <c r="A191" s="22"/>
      <c r="B191" s="12"/>
      <c r="C191" s="10"/>
      <c r="D191" s="12"/>
      <c r="E191" s="10"/>
      <c r="F191" s="10"/>
      <c r="G191" s="10"/>
      <c r="H191" s="10"/>
      <c r="I191" s="10"/>
      <c r="J191" s="10"/>
      <c r="K191" s="10"/>
      <c r="L191" s="10"/>
    </row>
    <row r="192">
      <c r="A192" s="22"/>
      <c r="B192" s="12"/>
      <c r="C192" s="10"/>
      <c r="D192" s="12"/>
      <c r="E192" s="10"/>
      <c r="F192" s="10"/>
      <c r="G192" s="10"/>
      <c r="H192" s="10"/>
      <c r="I192" s="10"/>
      <c r="J192" s="10"/>
      <c r="K192" s="10"/>
      <c r="L192" s="10"/>
    </row>
    <row r="193">
      <c r="A193" s="22"/>
      <c r="B193" s="12"/>
      <c r="C193" s="10"/>
      <c r="D193" s="12"/>
      <c r="E193" s="10"/>
      <c r="F193" s="10"/>
      <c r="G193" s="10"/>
      <c r="H193" s="10"/>
      <c r="I193" s="10"/>
      <c r="J193" s="10"/>
      <c r="K193" s="10"/>
      <c r="L193" s="10"/>
    </row>
    <row r="194">
      <c r="A194" s="22"/>
      <c r="B194" s="12"/>
      <c r="C194" s="10"/>
      <c r="D194" s="12"/>
      <c r="E194" s="10"/>
      <c r="F194" s="10"/>
      <c r="G194" s="10"/>
      <c r="H194" s="10"/>
      <c r="I194" s="10"/>
      <c r="J194" s="10"/>
      <c r="K194" s="10"/>
      <c r="L194" s="10"/>
    </row>
    <row r="195">
      <c r="A195" s="22"/>
      <c r="B195" s="12"/>
      <c r="C195" s="10"/>
      <c r="D195" s="12"/>
      <c r="E195" s="10"/>
      <c r="F195" s="10"/>
      <c r="G195" s="10"/>
      <c r="H195" s="10"/>
      <c r="I195" s="10"/>
      <c r="J195" s="10"/>
      <c r="K195" s="10"/>
      <c r="L195" s="10"/>
    </row>
    <row r="196">
      <c r="A196" s="22"/>
      <c r="B196" s="12"/>
      <c r="C196" s="10"/>
      <c r="D196" s="12"/>
      <c r="E196" s="10"/>
      <c r="F196" s="10"/>
      <c r="G196" s="10"/>
      <c r="H196" s="10"/>
      <c r="I196" s="10"/>
      <c r="J196" s="10"/>
      <c r="K196" s="10"/>
      <c r="L196" s="10"/>
    </row>
    <row r="197">
      <c r="A197" s="22"/>
      <c r="B197" s="12"/>
      <c r="C197" s="10"/>
      <c r="D197" s="12"/>
      <c r="E197" s="10"/>
      <c r="F197" s="10"/>
      <c r="G197" s="10"/>
      <c r="H197" s="10"/>
      <c r="I197" s="10"/>
      <c r="J197" s="10"/>
      <c r="K197" s="10"/>
      <c r="L197" s="10"/>
    </row>
    <row r="198">
      <c r="A198" s="22"/>
      <c r="B198" s="12"/>
      <c r="C198" s="10"/>
      <c r="D198" s="12"/>
      <c r="E198" s="10"/>
      <c r="F198" s="10"/>
      <c r="G198" s="10"/>
      <c r="H198" s="10"/>
      <c r="I198" s="10"/>
      <c r="J198" s="10"/>
      <c r="K198" s="10"/>
      <c r="L198" s="10"/>
    </row>
    <row r="199">
      <c r="A199" s="22"/>
      <c r="B199" s="12"/>
      <c r="C199" s="10"/>
      <c r="D199" s="12"/>
      <c r="E199" s="10"/>
      <c r="F199" s="10"/>
      <c r="G199" s="10"/>
      <c r="H199" s="10"/>
      <c r="I199" s="10"/>
      <c r="J199" s="10"/>
      <c r="K199" s="10"/>
      <c r="L199" s="10"/>
    </row>
    <row r="200">
      <c r="A200" s="22"/>
      <c r="B200" s="12"/>
      <c r="C200" s="10"/>
      <c r="D200" s="12"/>
      <c r="E200" s="10"/>
      <c r="F200" s="10"/>
      <c r="G200" s="10"/>
      <c r="H200" s="10"/>
      <c r="I200" s="10"/>
      <c r="J200" s="10"/>
      <c r="K200" s="10"/>
      <c r="L200" s="10"/>
    </row>
    <row r="201">
      <c r="A201" s="22"/>
      <c r="B201" s="12"/>
      <c r="C201" s="10"/>
      <c r="D201" s="12"/>
      <c r="E201" s="10"/>
      <c r="F201" s="10"/>
      <c r="G201" s="10"/>
      <c r="H201" s="10"/>
      <c r="I201" s="10"/>
      <c r="J201" s="10"/>
      <c r="K201" s="10"/>
      <c r="L201" s="10"/>
    </row>
    <row r="202">
      <c r="A202" s="22"/>
      <c r="B202" s="12"/>
      <c r="C202" s="10"/>
      <c r="D202" s="12"/>
      <c r="E202" s="10"/>
      <c r="F202" s="10"/>
      <c r="G202" s="10"/>
      <c r="H202" s="10"/>
      <c r="I202" s="10"/>
      <c r="J202" s="10"/>
      <c r="K202" s="10"/>
      <c r="L202" s="10"/>
    </row>
    <row r="203">
      <c r="A203" s="22"/>
      <c r="B203" s="12"/>
      <c r="C203" s="10"/>
      <c r="D203" s="12"/>
      <c r="E203" s="10"/>
      <c r="F203" s="10"/>
      <c r="G203" s="10"/>
      <c r="H203" s="10"/>
      <c r="I203" s="10"/>
      <c r="J203" s="10"/>
      <c r="K203" s="10"/>
      <c r="L203" s="10"/>
    </row>
    <row r="204">
      <c r="A204" s="22"/>
      <c r="B204" s="12"/>
      <c r="C204" s="10"/>
      <c r="D204" s="12"/>
      <c r="E204" s="10"/>
      <c r="F204" s="10"/>
      <c r="G204" s="10"/>
      <c r="H204" s="10"/>
      <c r="I204" s="10"/>
      <c r="J204" s="10"/>
      <c r="K204" s="10"/>
      <c r="L204" s="10"/>
    </row>
    <row r="205">
      <c r="A205" s="22"/>
      <c r="B205" s="12"/>
      <c r="C205" s="10"/>
      <c r="D205" s="12"/>
      <c r="E205" s="10"/>
      <c r="F205" s="10"/>
      <c r="G205" s="10"/>
      <c r="H205" s="10"/>
      <c r="I205" s="10"/>
      <c r="J205" s="10"/>
      <c r="K205" s="10"/>
      <c r="L205" s="10"/>
    </row>
    <row r="206">
      <c r="A206" s="22"/>
      <c r="B206" s="12"/>
      <c r="C206" s="10"/>
      <c r="D206" s="12"/>
      <c r="E206" s="10"/>
      <c r="F206" s="10"/>
      <c r="G206" s="10"/>
      <c r="H206" s="10"/>
      <c r="I206" s="10"/>
      <c r="J206" s="10"/>
      <c r="K206" s="10"/>
      <c r="L206" s="10"/>
    </row>
    <row r="207">
      <c r="A207" s="22"/>
      <c r="B207" s="12"/>
      <c r="C207" s="10"/>
      <c r="D207" s="12"/>
      <c r="E207" s="10"/>
      <c r="F207" s="10"/>
      <c r="G207" s="10"/>
      <c r="H207" s="10"/>
      <c r="I207" s="10"/>
      <c r="J207" s="10"/>
      <c r="K207" s="10"/>
      <c r="L207" s="10"/>
    </row>
    <row r="208">
      <c r="A208" s="22"/>
      <c r="B208" s="12"/>
      <c r="C208" s="10"/>
      <c r="D208" s="12"/>
      <c r="E208" s="10"/>
      <c r="F208" s="10"/>
      <c r="G208" s="10"/>
      <c r="H208" s="10"/>
      <c r="I208" s="10"/>
      <c r="J208" s="10"/>
      <c r="K208" s="10"/>
      <c r="L208" s="10"/>
    </row>
    <row r="209">
      <c r="A209" s="22"/>
      <c r="B209" s="12"/>
      <c r="C209" s="10"/>
      <c r="D209" s="12"/>
      <c r="E209" s="10"/>
      <c r="F209" s="10"/>
      <c r="G209" s="10"/>
      <c r="H209" s="10"/>
      <c r="I209" s="10"/>
      <c r="J209" s="10"/>
      <c r="K209" s="10"/>
      <c r="L209" s="10"/>
    </row>
    <row r="210">
      <c r="A210" s="22"/>
      <c r="B210" s="12"/>
      <c r="C210" s="10"/>
      <c r="D210" s="12"/>
      <c r="E210" s="10"/>
      <c r="F210" s="10"/>
      <c r="G210" s="10"/>
      <c r="H210" s="10"/>
      <c r="I210" s="10"/>
      <c r="J210" s="10"/>
      <c r="K210" s="10"/>
      <c r="L210" s="10"/>
    </row>
    <row r="211">
      <c r="A211" s="22"/>
      <c r="B211" s="12"/>
      <c r="C211" s="10"/>
      <c r="D211" s="12"/>
      <c r="E211" s="10"/>
      <c r="F211" s="10"/>
      <c r="G211" s="10"/>
      <c r="H211" s="10"/>
      <c r="I211" s="10"/>
      <c r="J211" s="10"/>
      <c r="K211" s="10"/>
      <c r="L211" s="10"/>
    </row>
    <row r="212">
      <c r="A212" s="22"/>
      <c r="B212" s="12"/>
      <c r="C212" s="10"/>
      <c r="D212" s="12"/>
      <c r="E212" s="10"/>
      <c r="F212" s="10"/>
      <c r="G212" s="10"/>
      <c r="H212" s="10"/>
      <c r="I212" s="10"/>
      <c r="J212" s="10"/>
      <c r="K212" s="10"/>
      <c r="L212" s="10"/>
    </row>
    <row r="213">
      <c r="A213" s="22"/>
      <c r="B213" s="12"/>
      <c r="C213" s="10"/>
      <c r="D213" s="12"/>
      <c r="E213" s="10"/>
      <c r="F213" s="10"/>
      <c r="G213" s="10"/>
      <c r="H213" s="10"/>
      <c r="I213" s="10"/>
      <c r="J213" s="10"/>
      <c r="K213" s="10"/>
      <c r="L213" s="10"/>
    </row>
    <row r="214">
      <c r="A214" s="22"/>
      <c r="B214" s="12"/>
      <c r="C214" s="10"/>
      <c r="D214" s="12"/>
      <c r="E214" s="10"/>
      <c r="F214" s="10"/>
      <c r="G214" s="10"/>
      <c r="H214" s="10"/>
      <c r="I214" s="10"/>
      <c r="J214" s="10"/>
      <c r="K214" s="10"/>
      <c r="L214" s="10"/>
    </row>
    <row r="215">
      <c r="A215" s="22"/>
      <c r="B215" s="12"/>
      <c r="C215" s="10"/>
      <c r="D215" s="12"/>
      <c r="E215" s="10"/>
      <c r="F215" s="10"/>
      <c r="G215" s="10"/>
      <c r="H215" s="10"/>
      <c r="I215" s="10"/>
      <c r="J215" s="10"/>
      <c r="K215" s="10"/>
      <c r="L215" s="10"/>
    </row>
    <row r="216">
      <c r="A216" s="22"/>
      <c r="B216" s="12"/>
      <c r="C216" s="10"/>
      <c r="D216" s="12"/>
      <c r="E216" s="10"/>
      <c r="F216" s="10"/>
      <c r="G216" s="10"/>
      <c r="H216" s="10"/>
      <c r="I216" s="10"/>
      <c r="J216" s="10"/>
      <c r="K216" s="10"/>
      <c r="L216" s="10"/>
    </row>
    <row r="217">
      <c r="A217" s="22"/>
      <c r="B217" s="12"/>
      <c r="C217" s="10"/>
      <c r="D217" s="12"/>
      <c r="E217" s="10"/>
      <c r="F217" s="10"/>
      <c r="G217" s="10"/>
      <c r="H217" s="10"/>
      <c r="I217" s="10"/>
      <c r="J217" s="10"/>
      <c r="K217" s="10"/>
      <c r="L217" s="10"/>
    </row>
    <row r="218">
      <c r="A218" s="22"/>
      <c r="B218" s="12"/>
      <c r="C218" s="10"/>
      <c r="D218" s="12"/>
      <c r="E218" s="10"/>
      <c r="F218" s="10"/>
      <c r="G218" s="10"/>
      <c r="H218" s="10"/>
      <c r="I218" s="10"/>
      <c r="J218" s="10"/>
      <c r="K218" s="10"/>
      <c r="L218" s="10"/>
    </row>
    <row r="219">
      <c r="A219" s="22"/>
      <c r="B219" s="12"/>
      <c r="C219" s="10"/>
      <c r="D219" s="12"/>
      <c r="E219" s="10"/>
      <c r="F219" s="10"/>
      <c r="G219" s="10"/>
      <c r="H219" s="10"/>
      <c r="I219" s="10"/>
      <c r="J219" s="10"/>
      <c r="K219" s="10"/>
      <c r="L219" s="10"/>
    </row>
    <row r="220">
      <c r="A220" s="22"/>
      <c r="B220" s="12"/>
      <c r="C220" s="10"/>
      <c r="D220" s="12"/>
      <c r="E220" s="10"/>
      <c r="F220" s="10"/>
      <c r="G220" s="10"/>
      <c r="H220" s="10"/>
      <c r="I220" s="10"/>
      <c r="J220" s="10"/>
      <c r="K220" s="10"/>
      <c r="L220" s="10"/>
    </row>
    <row r="221">
      <c r="A221" s="22"/>
      <c r="B221" s="12"/>
      <c r="C221" s="10"/>
      <c r="D221" s="12"/>
      <c r="E221" s="10"/>
      <c r="F221" s="10"/>
      <c r="G221" s="10"/>
      <c r="H221" s="10"/>
      <c r="I221" s="10"/>
      <c r="J221" s="10"/>
      <c r="K221" s="10"/>
      <c r="L221" s="10"/>
    </row>
    <row r="222">
      <c r="A222" s="22"/>
      <c r="B222" s="12"/>
      <c r="C222" s="10"/>
      <c r="D222" s="12"/>
      <c r="E222" s="10"/>
      <c r="F222" s="10"/>
      <c r="G222" s="10"/>
      <c r="H222" s="10"/>
      <c r="I222" s="10"/>
      <c r="J222" s="10"/>
      <c r="K222" s="10"/>
      <c r="L222" s="10"/>
    </row>
    <row r="223">
      <c r="A223" s="22"/>
      <c r="B223" s="12"/>
      <c r="C223" s="10"/>
      <c r="D223" s="12"/>
      <c r="E223" s="10"/>
      <c r="F223" s="10"/>
      <c r="G223" s="10"/>
      <c r="H223" s="10"/>
      <c r="I223" s="10"/>
      <c r="J223" s="10"/>
      <c r="K223" s="10"/>
      <c r="L223" s="10"/>
    </row>
    <row r="224">
      <c r="A224" s="22"/>
      <c r="B224" s="12"/>
      <c r="C224" s="10"/>
      <c r="D224" s="12"/>
      <c r="E224" s="10"/>
      <c r="F224" s="10"/>
      <c r="G224" s="10"/>
      <c r="H224" s="10"/>
      <c r="I224" s="10"/>
      <c r="J224" s="10"/>
      <c r="K224" s="10"/>
      <c r="L224" s="10"/>
    </row>
    <row r="225">
      <c r="A225" s="22"/>
      <c r="B225" s="12"/>
      <c r="C225" s="10"/>
      <c r="D225" s="12"/>
      <c r="E225" s="10"/>
      <c r="F225" s="10"/>
      <c r="G225" s="10"/>
      <c r="H225" s="10"/>
      <c r="I225" s="10"/>
      <c r="J225" s="10"/>
      <c r="K225" s="10"/>
      <c r="L225" s="10"/>
    </row>
    <row r="226">
      <c r="A226" s="22"/>
      <c r="B226" s="12"/>
      <c r="C226" s="10"/>
      <c r="D226" s="12"/>
      <c r="E226" s="10"/>
      <c r="F226" s="10"/>
      <c r="G226" s="10"/>
      <c r="H226" s="10"/>
      <c r="I226" s="10"/>
      <c r="J226" s="10"/>
      <c r="K226" s="10"/>
      <c r="L226" s="10"/>
    </row>
    <row r="227">
      <c r="A227" s="22"/>
      <c r="B227" s="12"/>
      <c r="C227" s="10"/>
      <c r="D227" s="12"/>
      <c r="E227" s="10"/>
      <c r="F227" s="10"/>
      <c r="G227" s="10"/>
      <c r="H227" s="10"/>
      <c r="I227" s="10"/>
      <c r="J227" s="10"/>
      <c r="K227" s="10"/>
      <c r="L227" s="10"/>
    </row>
    <row r="228">
      <c r="A228" s="22"/>
      <c r="B228" s="12"/>
      <c r="C228" s="10"/>
      <c r="D228" s="12"/>
      <c r="E228" s="10"/>
      <c r="F228" s="10"/>
      <c r="G228" s="10"/>
      <c r="H228" s="10"/>
      <c r="I228" s="10"/>
      <c r="J228" s="10"/>
      <c r="K228" s="10"/>
      <c r="L228" s="10"/>
    </row>
    <row r="229">
      <c r="A229" s="22"/>
      <c r="B229" s="12"/>
      <c r="C229" s="10"/>
      <c r="D229" s="12"/>
      <c r="E229" s="10"/>
      <c r="F229" s="10"/>
      <c r="G229" s="10"/>
      <c r="H229" s="10"/>
      <c r="I229" s="10"/>
      <c r="J229" s="10"/>
      <c r="K229" s="10"/>
      <c r="L229" s="10"/>
    </row>
    <row r="230">
      <c r="A230" s="22"/>
      <c r="B230" s="12"/>
      <c r="C230" s="10"/>
      <c r="D230" s="12"/>
      <c r="E230" s="10"/>
      <c r="F230" s="10"/>
      <c r="G230" s="10"/>
      <c r="H230" s="10"/>
      <c r="I230" s="10"/>
      <c r="J230" s="10"/>
      <c r="K230" s="10"/>
      <c r="L230" s="10"/>
    </row>
    <row r="231">
      <c r="A231" s="22"/>
      <c r="B231" s="12"/>
      <c r="C231" s="10"/>
      <c r="D231" s="12"/>
      <c r="E231" s="10"/>
      <c r="F231" s="10"/>
      <c r="G231" s="10"/>
      <c r="H231" s="10"/>
      <c r="I231" s="10"/>
      <c r="J231" s="10"/>
      <c r="K231" s="10"/>
      <c r="L231" s="10"/>
    </row>
    <row r="232">
      <c r="A232" s="22"/>
      <c r="B232" s="12"/>
      <c r="C232" s="10"/>
      <c r="D232" s="12"/>
      <c r="E232" s="10"/>
      <c r="F232" s="10"/>
      <c r="G232" s="10"/>
      <c r="H232" s="10"/>
      <c r="I232" s="10"/>
      <c r="J232" s="10"/>
      <c r="K232" s="10"/>
      <c r="L232" s="10"/>
    </row>
    <row r="233">
      <c r="A233" s="22"/>
      <c r="B233" s="12"/>
      <c r="C233" s="10"/>
      <c r="D233" s="12"/>
      <c r="E233" s="10"/>
      <c r="F233" s="10"/>
      <c r="G233" s="10"/>
      <c r="H233" s="10"/>
      <c r="I233" s="10"/>
      <c r="J233" s="10"/>
      <c r="K233" s="10"/>
      <c r="L233" s="10"/>
    </row>
    <row r="234">
      <c r="A234" s="22"/>
      <c r="B234" s="12"/>
      <c r="C234" s="10"/>
      <c r="D234" s="12"/>
      <c r="E234" s="10"/>
      <c r="F234" s="10"/>
      <c r="G234" s="10"/>
      <c r="H234" s="10"/>
      <c r="I234" s="10"/>
      <c r="J234" s="10"/>
      <c r="K234" s="10"/>
      <c r="L234" s="10"/>
    </row>
    <row r="235">
      <c r="A235" s="22"/>
      <c r="B235" s="12"/>
      <c r="C235" s="10"/>
      <c r="D235" s="12"/>
      <c r="E235" s="10"/>
      <c r="F235" s="10"/>
      <c r="G235" s="10"/>
      <c r="H235" s="10"/>
      <c r="I235" s="10"/>
      <c r="J235" s="10"/>
      <c r="K235" s="10"/>
      <c r="L235" s="10"/>
    </row>
    <row r="236">
      <c r="A236" s="22"/>
      <c r="B236" s="12"/>
      <c r="C236" s="10"/>
      <c r="D236" s="12"/>
      <c r="E236" s="10"/>
      <c r="F236" s="10"/>
      <c r="G236" s="10"/>
      <c r="H236" s="10"/>
      <c r="I236" s="10"/>
      <c r="J236" s="10"/>
      <c r="K236" s="10"/>
      <c r="L236" s="10"/>
    </row>
    <row r="237">
      <c r="A237" s="22"/>
      <c r="B237" s="12"/>
      <c r="C237" s="10"/>
      <c r="D237" s="12"/>
      <c r="E237" s="10"/>
      <c r="F237" s="10"/>
      <c r="G237" s="10"/>
      <c r="H237" s="10"/>
      <c r="I237" s="10"/>
      <c r="J237" s="10"/>
      <c r="K237" s="10"/>
      <c r="L237" s="10"/>
    </row>
    <row r="238">
      <c r="A238" s="22"/>
      <c r="B238" s="12"/>
      <c r="C238" s="10"/>
      <c r="D238" s="12"/>
      <c r="E238" s="10"/>
      <c r="F238" s="10"/>
      <c r="G238" s="10"/>
      <c r="H238" s="10"/>
      <c r="I238" s="10"/>
      <c r="J238" s="10"/>
      <c r="K238" s="10"/>
      <c r="L238" s="10"/>
    </row>
    <row r="239">
      <c r="A239" s="22"/>
      <c r="B239" s="12"/>
      <c r="C239" s="10"/>
      <c r="D239" s="12"/>
      <c r="E239" s="10"/>
      <c r="F239" s="10"/>
      <c r="G239" s="10"/>
      <c r="H239" s="10"/>
      <c r="I239" s="10"/>
      <c r="J239" s="10"/>
      <c r="K239" s="10"/>
      <c r="L239" s="10"/>
    </row>
    <row r="240">
      <c r="A240" s="22"/>
      <c r="B240" s="12"/>
      <c r="C240" s="10"/>
      <c r="D240" s="12"/>
      <c r="E240" s="10"/>
      <c r="F240" s="10"/>
      <c r="G240" s="10"/>
      <c r="H240" s="10"/>
      <c r="I240" s="10"/>
      <c r="J240" s="10"/>
      <c r="K240" s="10"/>
      <c r="L240" s="10"/>
    </row>
    <row r="241">
      <c r="A241" s="22"/>
      <c r="B241" s="12"/>
      <c r="C241" s="10"/>
      <c r="D241" s="12"/>
      <c r="E241" s="10"/>
      <c r="F241" s="10"/>
      <c r="G241" s="10"/>
      <c r="H241" s="10"/>
      <c r="I241" s="10"/>
      <c r="J241" s="10"/>
      <c r="K241" s="10"/>
      <c r="L241" s="10"/>
    </row>
    <row r="242">
      <c r="A242" s="22"/>
      <c r="B242" s="12"/>
      <c r="C242" s="10"/>
      <c r="D242" s="12"/>
      <c r="E242" s="10"/>
      <c r="F242" s="10"/>
      <c r="G242" s="10"/>
      <c r="H242" s="10"/>
      <c r="I242" s="10"/>
      <c r="J242" s="10"/>
      <c r="K242" s="10"/>
      <c r="L242" s="10"/>
    </row>
    <row r="243">
      <c r="A243" s="22"/>
      <c r="B243" s="12"/>
      <c r="C243" s="10"/>
      <c r="D243" s="12"/>
      <c r="E243" s="10"/>
      <c r="F243" s="10"/>
      <c r="G243" s="10"/>
      <c r="H243" s="10"/>
      <c r="I243" s="10"/>
      <c r="J243" s="10"/>
      <c r="K243" s="10"/>
      <c r="L243" s="10"/>
    </row>
    <row r="244">
      <c r="A244" s="22"/>
      <c r="B244" s="12"/>
      <c r="C244" s="10"/>
      <c r="D244" s="12"/>
      <c r="E244" s="10"/>
      <c r="F244" s="10"/>
      <c r="G244" s="10"/>
      <c r="H244" s="10"/>
      <c r="I244" s="10"/>
      <c r="J244" s="10"/>
      <c r="K244" s="10"/>
      <c r="L244" s="10"/>
    </row>
    <row r="245">
      <c r="A245" s="22"/>
      <c r="B245" s="12"/>
      <c r="C245" s="10"/>
      <c r="D245" s="12"/>
      <c r="E245" s="10"/>
      <c r="F245" s="10"/>
      <c r="G245" s="10"/>
      <c r="H245" s="10"/>
      <c r="I245" s="10"/>
      <c r="J245" s="10"/>
      <c r="K245" s="10"/>
      <c r="L245" s="10"/>
    </row>
    <row r="246">
      <c r="A246" s="22"/>
      <c r="B246" s="12"/>
      <c r="C246" s="10"/>
      <c r="D246" s="12"/>
      <c r="E246" s="10"/>
      <c r="F246" s="10"/>
      <c r="G246" s="10"/>
      <c r="H246" s="10"/>
      <c r="I246" s="10"/>
      <c r="J246" s="10"/>
      <c r="K246" s="10"/>
      <c r="L246" s="10"/>
    </row>
    <row r="247">
      <c r="A247" s="22"/>
      <c r="B247" s="12"/>
      <c r="C247" s="10"/>
      <c r="D247" s="12"/>
      <c r="E247" s="10"/>
      <c r="F247" s="10"/>
      <c r="G247" s="10"/>
      <c r="H247" s="10"/>
      <c r="I247" s="10"/>
      <c r="J247" s="10"/>
      <c r="K247" s="10"/>
      <c r="L247" s="10"/>
    </row>
    <row r="248">
      <c r="A248" s="22"/>
      <c r="B248" s="12"/>
      <c r="C248" s="10"/>
      <c r="D248" s="12"/>
      <c r="E248" s="10"/>
      <c r="F248" s="10"/>
      <c r="G248" s="10"/>
      <c r="H248" s="10"/>
      <c r="I248" s="10"/>
      <c r="J248" s="10"/>
      <c r="K248" s="10"/>
      <c r="L248" s="10"/>
    </row>
    <row r="249">
      <c r="A249" s="22"/>
      <c r="B249" s="12"/>
      <c r="C249" s="10"/>
      <c r="D249" s="12"/>
      <c r="E249" s="10"/>
      <c r="F249" s="10"/>
      <c r="G249" s="10"/>
      <c r="H249" s="10"/>
      <c r="I249" s="10"/>
      <c r="J249" s="10"/>
      <c r="K249" s="10"/>
      <c r="L249" s="10"/>
    </row>
    <row r="250">
      <c r="A250" s="22"/>
      <c r="B250" s="12"/>
      <c r="C250" s="10"/>
      <c r="D250" s="12"/>
      <c r="E250" s="10"/>
      <c r="F250" s="10"/>
      <c r="G250" s="10"/>
      <c r="H250" s="10"/>
      <c r="I250" s="10"/>
      <c r="J250" s="10"/>
      <c r="K250" s="10"/>
      <c r="L250" s="10"/>
    </row>
    <row r="251">
      <c r="A251" s="22"/>
      <c r="B251" s="12"/>
      <c r="C251" s="10"/>
      <c r="D251" s="12"/>
      <c r="E251" s="10"/>
      <c r="F251" s="10"/>
      <c r="G251" s="10"/>
      <c r="H251" s="10"/>
      <c r="I251" s="10"/>
      <c r="J251" s="10"/>
      <c r="K251" s="10"/>
      <c r="L251" s="10"/>
    </row>
    <row r="252">
      <c r="A252" s="22"/>
      <c r="B252" s="12"/>
      <c r="C252" s="10"/>
      <c r="D252" s="12"/>
      <c r="E252" s="10"/>
      <c r="F252" s="10"/>
      <c r="G252" s="10"/>
      <c r="H252" s="10"/>
      <c r="I252" s="10"/>
      <c r="J252" s="10"/>
      <c r="K252" s="10"/>
      <c r="L252" s="10"/>
    </row>
    <row r="253">
      <c r="A253" s="22"/>
      <c r="B253" s="12"/>
      <c r="C253" s="10"/>
      <c r="D253" s="12"/>
      <c r="E253" s="10"/>
      <c r="F253" s="10"/>
      <c r="G253" s="10"/>
      <c r="H253" s="10"/>
      <c r="I253" s="10"/>
      <c r="J253" s="10"/>
      <c r="K253" s="10"/>
      <c r="L253" s="10"/>
    </row>
    <row r="254">
      <c r="A254" s="22"/>
      <c r="B254" s="12"/>
      <c r="C254" s="10"/>
      <c r="D254" s="12"/>
      <c r="E254" s="10"/>
      <c r="F254" s="10"/>
      <c r="G254" s="10"/>
      <c r="H254" s="10"/>
      <c r="I254" s="10"/>
      <c r="J254" s="10"/>
      <c r="K254" s="10"/>
      <c r="L254" s="10"/>
    </row>
    <row r="255">
      <c r="A255" s="22"/>
      <c r="B255" s="12"/>
      <c r="C255" s="10"/>
      <c r="D255" s="12"/>
      <c r="E255" s="10"/>
      <c r="F255" s="10"/>
      <c r="G255" s="10"/>
      <c r="H255" s="10"/>
      <c r="I255" s="10"/>
      <c r="J255" s="10"/>
      <c r="K255" s="10"/>
      <c r="L255" s="10"/>
    </row>
    <row r="256">
      <c r="A256" s="22"/>
      <c r="B256" s="12"/>
      <c r="C256" s="10"/>
      <c r="D256" s="12"/>
      <c r="E256" s="10"/>
      <c r="F256" s="10"/>
      <c r="G256" s="10"/>
      <c r="H256" s="10"/>
      <c r="I256" s="10"/>
      <c r="J256" s="10"/>
      <c r="K256" s="10"/>
      <c r="L256" s="10"/>
    </row>
    <row r="257">
      <c r="A257" s="22"/>
      <c r="B257" s="12"/>
      <c r="C257" s="10"/>
      <c r="D257" s="12"/>
      <c r="E257" s="10"/>
      <c r="F257" s="10"/>
      <c r="G257" s="10"/>
      <c r="H257" s="10"/>
      <c r="I257" s="10"/>
      <c r="J257" s="10"/>
      <c r="K257" s="10"/>
      <c r="L257" s="10"/>
    </row>
    <row r="258">
      <c r="A258" s="22"/>
      <c r="B258" s="12"/>
      <c r="C258" s="10"/>
      <c r="D258" s="12"/>
      <c r="E258" s="10"/>
      <c r="F258" s="10"/>
      <c r="G258" s="10"/>
      <c r="H258" s="10"/>
      <c r="I258" s="10"/>
      <c r="J258" s="10"/>
      <c r="K258" s="10"/>
      <c r="L258" s="10"/>
    </row>
    <row r="259">
      <c r="A259" s="22"/>
      <c r="B259" s="12"/>
      <c r="C259" s="10"/>
      <c r="D259" s="12"/>
      <c r="E259" s="10"/>
      <c r="F259" s="10"/>
      <c r="G259" s="10"/>
      <c r="H259" s="10"/>
      <c r="I259" s="10"/>
      <c r="J259" s="10"/>
      <c r="K259" s="10"/>
      <c r="L259" s="10"/>
    </row>
    <row r="260">
      <c r="A260" s="22"/>
      <c r="B260" s="12"/>
      <c r="C260" s="10"/>
      <c r="D260" s="12"/>
      <c r="E260" s="10"/>
      <c r="F260" s="10"/>
      <c r="G260" s="10"/>
      <c r="H260" s="10"/>
      <c r="I260" s="10"/>
      <c r="J260" s="10"/>
      <c r="K260" s="10"/>
      <c r="L260" s="10"/>
    </row>
    <row r="261">
      <c r="A261" s="22"/>
      <c r="B261" s="12"/>
      <c r="C261" s="10"/>
      <c r="D261" s="12"/>
      <c r="E261" s="10"/>
      <c r="F261" s="10"/>
      <c r="G261" s="10"/>
      <c r="H261" s="10"/>
      <c r="I261" s="10"/>
      <c r="J261" s="10"/>
      <c r="K261" s="10"/>
      <c r="L261" s="10"/>
    </row>
    <row r="262">
      <c r="A262" s="22"/>
      <c r="B262" s="12"/>
      <c r="C262" s="10"/>
      <c r="D262" s="12"/>
      <c r="E262" s="10"/>
      <c r="F262" s="10"/>
      <c r="G262" s="10"/>
      <c r="H262" s="10"/>
      <c r="I262" s="10"/>
      <c r="J262" s="10"/>
      <c r="K262" s="10"/>
      <c r="L262" s="10"/>
    </row>
    <row r="263">
      <c r="A263" s="22"/>
      <c r="B263" s="12"/>
      <c r="C263" s="10"/>
      <c r="D263" s="12"/>
      <c r="E263" s="10"/>
      <c r="F263" s="10"/>
      <c r="G263" s="10"/>
      <c r="H263" s="10"/>
      <c r="I263" s="10"/>
      <c r="J263" s="10"/>
      <c r="K263" s="10"/>
      <c r="L263" s="10"/>
    </row>
    <row r="264">
      <c r="A264" s="22"/>
      <c r="B264" s="12"/>
      <c r="C264" s="10"/>
      <c r="D264" s="12"/>
      <c r="E264" s="10"/>
      <c r="F264" s="10"/>
      <c r="G264" s="10"/>
      <c r="H264" s="10"/>
      <c r="I264" s="10"/>
      <c r="J264" s="10"/>
      <c r="K264" s="10"/>
      <c r="L264" s="10"/>
    </row>
    <row r="265">
      <c r="A265" s="22"/>
      <c r="B265" s="12"/>
      <c r="C265" s="10"/>
      <c r="D265" s="12"/>
      <c r="E265" s="10"/>
      <c r="F265" s="10"/>
      <c r="G265" s="10"/>
      <c r="H265" s="10"/>
      <c r="I265" s="10"/>
      <c r="J265" s="10"/>
      <c r="K265" s="10"/>
      <c r="L265" s="10"/>
    </row>
    <row r="266">
      <c r="A266" s="22"/>
      <c r="B266" s="12"/>
      <c r="C266" s="10"/>
      <c r="D266" s="12"/>
      <c r="E266" s="10"/>
      <c r="F266" s="10"/>
      <c r="G266" s="10"/>
      <c r="H266" s="10"/>
      <c r="I266" s="10"/>
      <c r="J266" s="10"/>
      <c r="K266" s="10"/>
      <c r="L266" s="10"/>
    </row>
    <row r="267">
      <c r="A267" s="22"/>
      <c r="B267" s="12"/>
      <c r="C267" s="10"/>
      <c r="D267" s="12"/>
      <c r="E267" s="10"/>
      <c r="F267" s="10"/>
      <c r="G267" s="10"/>
      <c r="H267" s="10"/>
      <c r="I267" s="10"/>
      <c r="J267" s="10"/>
      <c r="K267" s="10"/>
      <c r="L267" s="10"/>
    </row>
    <row r="268">
      <c r="A268" s="22"/>
      <c r="B268" s="12"/>
      <c r="C268" s="10"/>
      <c r="D268" s="12"/>
      <c r="E268" s="10"/>
      <c r="F268" s="10"/>
      <c r="G268" s="10"/>
      <c r="H268" s="10"/>
      <c r="I268" s="10"/>
      <c r="J268" s="10"/>
      <c r="K268" s="10"/>
      <c r="L268" s="10"/>
    </row>
    <row r="269">
      <c r="A269" s="22"/>
      <c r="B269" s="12"/>
      <c r="C269" s="10"/>
      <c r="D269" s="12"/>
      <c r="E269" s="10"/>
      <c r="F269" s="10"/>
      <c r="G269" s="10"/>
      <c r="H269" s="10"/>
      <c r="I269" s="10"/>
      <c r="J269" s="10"/>
      <c r="K269" s="10"/>
      <c r="L269" s="10"/>
    </row>
    <row r="270">
      <c r="A270" s="22"/>
      <c r="B270" s="12"/>
      <c r="C270" s="10"/>
      <c r="D270" s="12"/>
      <c r="E270" s="10"/>
      <c r="F270" s="10"/>
      <c r="G270" s="10"/>
      <c r="H270" s="10"/>
      <c r="I270" s="10"/>
      <c r="J270" s="10"/>
      <c r="K270" s="10"/>
      <c r="L270" s="10"/>
    </row>
    <row r="271">
      <c r="A271" s="22"/>
      <c r="B271" s="12"/>
      <c r="C271" s="10"/>
      <c r="D271" s="12"/>
      <c r="E271" s="10"/>
      <c r="F271" s="10"/>
      <c r="G271" s="10"/>
      <c r="H271" s="10"/>
      <c r="I271" s="10"/>
      <c r="J271" s="10"/>
      <c r="K271" s="10"/>
      <c r="L271" s="10"/>
    </row>
    <row r="272">
      <c r="A272" s="22"/>
      <c r="B272" s="12"/>
      <c r="C272" s="10"/>
      <c r="D272" s="12"/>
      <c r="E272" s="10"/>
      <c r="F272" s="10"/>
      <c r="G272" s="10"/>
      <c r="H272" s="10"/>
      <c r="I272" s="10"/>
      <c r="J272" s="10"/>
      <c r="K272" s="10"/>
      <c r="L272" s="10"/>
    </row>
    <row r="273">
      <c r="A273" s="22"/>
      <c r="B273" s="12"/>
      <c r="C273" s="10"/>
      <c r="D273" s="12"/>
      <c r="E273" s="10"/>
      <c r="F273" s="10"/>
      <c r="G273" s="10"/>
      <c r="H273" s="10"/>
      <c r="I273" s="10"/>
      <c r="J273" s="10"/>
      <c r="K273" s="10"/>
      <c r="L273" s="10"/>
    </row>
    <row r="274">
      <c r="A274" s="22"/>
      <c r="B274" s="12"/>
      <c r="C274" s="10"/>
      <c r="D274" s="12"/>
      <c r="E274" s="10"/>
      <c r="F274" s="10"/>
      <c r="G274" s="10"/>
      <c r="H274" s="10"/>
      <c r="I274" s="10"/>
      <c r="J274" s="10"/>
      <c r="K274" s="10"/>
      <c r="L274" s="10"/>
    </row>
    <row r="275">
      <c r="A275" s="22"/>
      <c r="B275" s="12"/>
      <c r="C275" s="10"/>
      <c r="D275" s="12"/>
      <c r="E275" s="10"/>
      <c r="F275" s="10"/>
      <c r="G275" s="10"/>
      <c r="H275" s="10"/>
      <c r="I275" s="10"/>
      <c r="J275" s="10"/>
      <c r="K275" s="10"/>
      <c r="L275" s="10"/>
    </row>
    <row r="276">
      <c r="A276" s="22"/>
      <c r="B276" s="12"/>
      <c r="C276" s="10"/>
      <c r="D276" s="12"/>
      <c r="E276" s="10"/>
      <c r="F276" s="10"/>
      <c r="G276" s="10"/>
      <c r="H276" s="10"/>
      <c r="I276" s="10"/>
      <c r="J276" s="10"/>
      <c r="K276" s="10"/>
      <c r="L276" s="10"/>
    </row>
    <row r="277">
      <c r="A277" s="22"/>
      <c r="B277" s="12"/>
      <c r="C277" s="10"/>
      <c r="D277" s="12"/>
      <c r="E277" s="10"/>
      <c r="F277" s="10"/>
      <c r="G277" s="10"/>
      <c r="H277" s="10"/>
      <c r="I277" s="10"/>
      <c r="J277" s="10"/>
      <c r="K277" s="10"/>
      <c r="L277" s="10"/>
    </row>
    <row r="278">
      <c r="A278" s="22"/>
      <c r="B278" s="12"/>
      <c r="C278" s="10"/>
      <c r="D278" s="12"/>
      <c r="E278" s="10"/>
      <c r="F278" s="10"/>
      <c r="G278" s="10"/>
      <c r="H278" s="10"/>
      <c r="I278" s="10"/>
      <c r="J278" s="10"/>
      <c r="K278" s="10"/>
      <c r="L278" s="10"/>
    </row>
    <row r="279">
      <c r="A279" s="22"/>
      <c r="B279" s="12"/>
      <c r="C279" s="10"/>
      <c r="D279" s="12"/>
      <c r="E279" s="10"/>
      <c r="F279" s="10"/>
      <c r="G279" s="10"/>
      <c r="H279" s="10"/>
      <c r="I279" s="10"/>
      <c r="J279" s="10"/>
      <c r="K279" s="10"/>
      <c r="L279" s="10"/>
    </row>
    <row r="280">
      <c r="A280" s="22"/>
      <c r="B280" s="12"/>
      <c r="C280" s="10"/>
      <c r="D280" s="12"/>
      <c r="E280" s="10"/>
      <c r="F280" s="10"/>
      <c r="G280" s="10"/>
      <c r="H280" s="10"/>
      <c r="I280" s="10"/>
      <c r="J280" s="10"/>
      <c r="K280" s="10"/>
      <c r="L280" s="10"/>
    </row>
    <row r="281">
      <c r="A281" s="22"/>
      <c r="B281" s="12"/>
      <c r="C281" s="10"/>
      <c r="D281" s="12"/>
      <c r="E281" s="10"/>
      <c r="F281" s="10"/>
      <c r="G281" s="10"/>
      <c r="H281" s="10"/>
      <c r="I281" s="10"/>
      <c r="J281" s="10"/>
      <c r="K281" s="10"/>
      <c r="L281" s="10"/>
    </row>
    <row r="282">
      <c r="A282" s="22"/>
      <c r="B282" s="12"/>
      <c r="C282" s="10"/>
      <c r="D282" s="12"/>
      <c r="E282" s="10"/>
      <c r="F282" s="10"/>
      <c r="G282" s="10"/>
      <c r="H282" s="10"/>
      <c r="I282" s="10"/>
      <c r="J282" s="10"/>
      <c r="K282" s="10"/>
      <c r="L282" s="10"/>
    </row>
    <row r="283">
      <c r="A283" s="22"/>
      <c r="B283" s="12"/>
      <c r="C283" s="10"/>
      <c r="D283" s="12"/>
      <c r="E283" s="10"/>
      <c r="F283" s="10"/>
      <c r="G283" s="10"/>
      <c r="H283" s="10"/>
      <c r="I283" s="10"/>
      <c r="J283" s="10"/>
      <c r="K283" s="10"/>
      <c r="L283" s="10"/>
    </row>
    <row r="284">
      <c r="A284" s="22"/>
      <c r="B284" s="12"/>
      <c r="C284" s="10"/>
      <c r="D284" s="12"/>
      <c r="E284" s="10"/>
      <c r="F284" s="10"/>
      <c r="G284" s="10"/>
      <c r="H284" s="10"/>
      <c r="I284" s="10"/>
      <c r="J284" s="10"/>
      <c r="K284" s="10"/>
      <c r="L284" s="10"/>
    </row>
    <row r="285">
      <c r="A285" s="22"/>
      <c r="B285" s="12"/>
      <c r="C285" s="10"/>
      <c r="D285" s="12"/>
      <c r="E285" s="10"/>
      <c r="F285" s="10"/>
      <c r="G285" s="10"/>
      <c r="H285" s="10"/>
      <c r="I285" s="10"/>
      <c r="J285" s="10"/>
      <c r="K285" s="10"/>
      <c r="L285" s="10"/>
    </row>
    <row r="286">
      <c r="A286" s="22"/>
      <c r="B286" s="12"/>
      <c r="C286" s="10"/>
      <c r="D286" s="12"/>
      <c r="E286" s="10"/>
      <c r="F286" s="10"/>
      <c r="G286" s="10"/>
      <c r="H286" s="10"/>
      <c r="I286" s="10"/>
      <c r="J286" s="10"/>
      <c r="K286" s="10"/>
      <c r="L286" s="10"/>
    </row>
    <row r="287">
      <c r="A287" s="22"/>
      <c r="B287" s="12"/>
      <c r="C287" s="10"/>
      <c r="D287" s="12"/>
      <c r="E287" s="10"/>
      <c r="F287" s="10"/>
      <c r="G287" s="10"/>
      <c r="H287" s="10"/>
      <c r="I287" s="10"/>
      <c r="J287" s="10"/>
      <c r="K287" s="10"/>
      <c r="L287" s="10"/>
    </row>
    <row r="288">
      <c r="A288" s="22"/>
      <c r="B288" s="12"/>
      <c r="C288" s="10"/>
      <c r="D288" s="12"/>
      <c r="E288" s="10"/>
      <c r="F288" s="10"/>
      <c r="G288" s="10"/>
      <c r="H288" s="10"/>
      <c r="I288" s="10"/>
      <c r="J288" s="10"/>
      <c r="K288" s="10"/>
      <c r="L288" s="10"/>
    </row>
    <row r="289">
      <c r="A289" s="22"/>
      <c r="B289" s="12"/>
      <c r="C289" s="10"/>
      <c r="D289" s="12"/>
      <c r="E289" s="10"/>
      <c r="F289" s="10"/>
      <c r="G289" s="10"/>
      <c r="H289" s="10"/>
      <c r="I289" s="10"/>
      <c r="J289" s="10"/>
      <c r="K289" s="10"/>
      <c r="L289" s="10"/>
    </row>
    <row r="290">
      <c r="A290" s="22"/>
      <c r="B290" s="12"/>
      <c r="C290" s="10"/>
      <c r="D290" s="12"/>
      <c r="E290" s="10"/>
      <c r="F290" s="10"/>
      <c r="G290" s="10"/>
      <c r="H290" s="10"/>
      <c r="I290" s="10"/>
      <c r="J290" s="10"/>
      <c r="K290" s="10"/>
      <c r="L290" s="10"/>
    </row>
    <row r="291">
      <c r="A291" s="22"/>
      <c r="B291" s="12"/>
      <c r="C291" s="10"/>
      <c r="D291" s="12"/>
      <c r="E291" s="10"/>
      <c r="F291" s="10"/>
      <c r="G291" s="10"/>
      <c r="H291" s="10"/>
      <c r="I291" s="10"/>
      <c r="J291" s="10"/>
      <c r="K291" s="10"/>
      <c r="L291" s="10"/>
    </row>
    <row r="292">
      <c r="A292" s="22"/>
      <c r="B292" s="12"/>
      <c r="C292" s="10"/>
      <c r="D292" s="12"/>
      <c r="E292" s="10"/>
      <c r="F292" s="10"/>
      <c r="G292" s="10"/>
      <c r="H292" s="10"/>
      <c r="I292" s="10"/>
      <c r="J292" s="10"/>
      <c r="K292" s="10"/>
      <c r="L292" s="10"/>
    </row>
    <row r="293">
      <c r="A293" s="22"/>
      <c r="B293" s="12"/>
      <c r="C293" s="10"/>
      <c r="D293" s="12"/>
      <c r="E293" s="10"/>
      <c r="F293" s="10"/>
      <c r="G293" s="10"/>
      <c r="H293" s="10"/>
      <c r="I293" s="10"/>
      <c r="J293" s="10"/>
      <c r="K293" s="10"/>
      <c r="L293" s="10"/>
    </row>
    <row r="294">
      <c r="A294" s="22"/>
      <c r="B294" s="12"/>
      <c r="C294" s="10"/>
      <c r="D294" s="12"/>
      <c r="E294" s="10"/>
      <c r="F294" s="10"/>
      <c r="G294" s="10"/>
      <c r="H294" s="10"/>
      <c r="I294" s="10"/>
      <c r="J294" s="10"/>
      <c r="K294" s="10"/>
      <c r="L294" s="10"/>
    </row>
    <row r="295">
      <c r="A295" s="22"/>
      <c r="B295" s="12"/>
      <c r="C295" s="10"/>
      <c r="D295" s="12"/>
      <c r="E295" s="10"/>
      <c r="F295" s="10"/>
      <c r="G295" s="10"/>
      <c r="H295" s="10"/>
      <c r="I295" s="10"/>
      <c r="J295" s="10"/>
      <c r="K295" s="10"/>
      <c r="L295" s="10"/>
    </row>
    <row r="296">
      <c r="A296" s="22"/>
      <c r="B296" s="12"/>
      <c r="C296" s="10"/>
      <c r="D296" s="12"/>
      <c r="E296" s="10"/>
      <c r="F296" s="10"/>
      <c r="G296" s="10"/>
      <c r="H296" s="10"/>
      <c r="I296" s="10"/>
      <c r="J296" s="10"/>
      <c r="K296" s="10"/>
      <c r="L296" s="10"/>
    </row>
    <row r="297">
      <c r="A297" s="22"/>
      <c r="B297" s="12"/>
      <c r="C297" s="10"/>
      <c r="D297" s="12"/>
      <c r="E297" s="10"/>
      <c r="F297" s="10"/>
      <c r="G297" s="10"/>
      <c r="H297" s="10"/>
      <c r="I297" s="10"/>
      <c r="J297" s="10"/>
      <c r="K297" s="10"/>
      <c r="L297" s="10"/>
    </row>
    <row r="298">
      <c r="A298" s="22"/>
      <c r="B298" s="12"/>
      <c r="C298" s="10"/>
      <c r="D298" s="12"/>
      <c r="E298" s="10"/>
      <c r="F298" s="10"/>
      <c r="G298" s="10"/>
      <c r="H298" s="10"/>
      <c r="I298" s="10"/>
      <c r="J298" s="10"/>
      <c r="K298" s="10"/>
      <c r="L298" s="10"/>
    </row>
    <row r="299">
      <c r="A299" s="22"/>
      <c r="B299" s="12"/>
      <c r="C299" s="10"/>
      <c r="D299" s="12"/>
      <c r="E299" s="10"/>
      <c r="F299" s="10"/>
      <c r="G299" s="10"/>
      <c r="H299" s="10"/>
      <c r="I299" s="10"/>
      <c r="J299" s="10"/>
      <c r="K299" s="10"/>
      <c r="L299" s="10"/>
    </row>
    <row r="300">
      <c r="A300" s="22"/>
      <c r="B300" s="12"/>
      <c r="C300" s="10"/>
      <c r="D300" s="12"/>
      <c r="E300" s="10"/>
      <c r="F300" s="10"/>
      <c r="G300" s="10"/>
      <c r="H300" s="10"/>
      <c r="I300" s="10"/>
      <c r="J300" s="10"/>
      <c r="K300" s="10"/>
      <c r="L300" s="10"/>
    </row>
    <row r="301">
      <c r="A301" s="22"/>
      <c r="B301" s="12"/>
      <c r="C301" s="10"/>
      <c r="D301" s="12"/>
      <c r="E301" s="10"/>
      <c r="F301" s="10"/>
      <c r="G301" s="10"/>
      <c r="H301" s="10"/>
      <c r="I301" s="10"/>
      <c r="J301" s="10"/>
      <c r="K301" s="10"/>
      <c r="L301" s="10"/>
    </row>
    <row r="302">
      <c r="A302" s="22"/>
      <c r="B302" s="12"/>
      <c r="C302" s="10"/>
      <c r="D302" s="12"/>
      <c r="E302" s="10"/>
      <c r="F302" s="10"/>
      <c r="G302" s="10"/>
      <c r="H302" s="10"/>
      <c r="I302" s="10"/>
      <c r="J302" s="10"/>
      <c r="K302" s="10"/>
      <c r="L302" s="10"/>
    </row>
    <row r="303">
      <c r="A303" s="22"/>
      <c r="B303" s="12"/>
      <c r="C303" s="10"/>
      <c r="D303" s="12"/>
      <c r="E303" s="10"/>
      <c r="F303" s="10"/>
      <c r="G303" s="10"/>
      <c r="H303" s="10"/>
      <c r="I303" s="10"/>
      <c r="J303" s="10"/>
      <c r="K303" s="10"/>
      <c r="L303" s="10"/>
    </row>
    <row r="304">
      <c r="A304" s="22"/>
      <c r="B304" s="12"/>
      <c r="C304" s="10"/>
      <c r="D304" s="12"/>
      <c r="E304" s="10"/>
      <c r="F304" s="10"/>
      <c r="G304" s="10"/>
      <c r="H304" s="10"/>
      <c r="I304" s="10"/>
      <c r="J304" s="10"/>
      <c r="K304" s="10"/>
      <c r="L304" s="10"/>
    </row>
    <row r="305">
      <c r="A305" s="22"/>
      <c r="B305" s="12"/>
      <c r="C305" s="10"/>
      <c r="D305" s="12"/>
      <c r="E305" s="10"/>
      <c r="F305" s="10"/>
      <c r="G305" s="10"/>
      <c r="H305" s="10"/>
      <c r="I305" s="10"/>
      <c r="J305" s="10"/>
      <c r="K305" s="10"/>
      <c r="L305" s="10"/>
    </row>
    <row r="306">
      <c r="A306" s="22"/>
      <c r="B306" s="12"/>
      <c r="C306" s="10"/>
      <c r="D306" s="12"/>
      <c r="E306" s="10"/>
      <c r="F306" s="10"/>
      <c r="G306" s="10"/>
      <c r="H306" s="10"/>
      <c r="I306" s="10"/>
      <c r="J306" s="10"/>
      <c r="K306" s="10"/>
      <c r="L306" s="10"/>
    </row>
    <row r="307">
      <c r="A307" s="22"/>
      <c r="B307" s="12"/>
      <c r="C307" s="10"/>
      <c r="D307" s="12"/>
      <c r="E307" s="10"/>
      <c r="F307" s="10"/>
      <c r="G307" s="10"/>
      <c r="H307" s="10"/>
      <c r="I307" s="10"/>
      <c r="J307" s="10"/>
      <c r="K307" s="10"/>
      <c r="L307" s="10"/>
    </row>
    <row r="308">
      <c r="A308" s="22"/>
      <c r="B308" s="12"/>
      <c r="C308" s="10"/>
      <c r="D308" s="12"/>
      <c r="E308" s="10"/>
      <c r="F308" s="10"/>
      <c r="G308" s="10"/>
      <c r="H308" s="10"/>
      <c r="I308" s="10"/>
      <c r="J308" s="10"/>
      <c r="K308" s="10"/>
      <c r="L308" s="10"/>
    </row>
    <row r="309">
      <c r="A309" s="22"/>
      <c r="B309" s="12"/>
      <c r="C309" s="10"/>
      <c r="D309" s="12"/>
      <c r="E309" s="10"/>
      <c r="F309" s="10"/>
      <c r="G309" s="10"/>
      <c r="H309" s="10"/>
      <c r="I309" s="10"/>
      <c r="J309" s="10"/>
      <c r="K309" s="10"/>
      <c r="L309" s="10"/>
    </row>
    <row r="310">
      <c r="A310" s="22"/>
      <c r="B310" s="12"/>
      <c r="C310" s="10"/>
      <c r="D310" s="12"/>
      <c r="E310" s="10"/>
      <c r="F310" s="10"/>
      <c r="G310" s="10"/>
      <c r="H310" s="10"/>
      <c r="I310" s="10"/>
      <c r="J310" s="10"/>
      <c r="K310" s="10"/>
      <c r="L310" s="10"/>
    </row>
    <row r="311">
      <c r="A311" s="22"/>
      <c r="B311" s="12"/>
      <c r="C311" s="10"/>
      <c r="D311" s="12"/>
      <c r="E311" s="10"/>
      <c r="F311" s="10"/>
      <c r="G311" s="10"/>
      <c r="H311" s="10"/>
      <c r="I311" s="10"/>
      <c r="J311" s="10"/>
      <c r="K311" s="10"/>
      <c r="L311" s="10"/>
    </row>
    <row r="312">
      <c r="A312" s="22"/>
      <c r="B312" s="12"/>
      <c r="C312" s="10"/>
      <c r="D312" s="12"/>
      <c r="E312" s="10"/>
      <c r="F312" s="10"/>
      <c r="G312" s="10"/>
      <c r="H312" s="10"/>
      <c r="I312" s="10"/>
      <c r="J312" s="10"/>
      <c r="K312" s="10"/>
      <c r="L312" s="10"/>
    </row>
    <row r="313">
      <c r="A313" s="22"/>
      <c r="B313" s="12"/>
      <c r="C313" s="10"/>
      <c r="D313" s="12"/>
      <c r="E313" s="10"/>
      <c r="F313" s="10"/>
      <c r="G313" s="10"/>
      <c r="H313" s="10"/>
      <c r="I313" s="10"/>
      <c r="J313" s="10"/>
      <c r="K313" s="10"/>
      <c r="L313" s="10"/>
    </row>
    <row r="314">
      <c r="A314" s="22"/>
      <c r="B314" s="12"/>
      <c r="C314" s="10"/>
      <c r="D314" s="12"/>
      <c r="E314" s="10"/>
      <c r="F314" s="10"/>
      <c r="G314" s="10"/>
      <c r="H314" s="10"/>
      <c r="I314" s="10"/>
      <c r="J314" s="10"/>
      <c r="K314" s="10"/>
      <c r="L314" s="10"/>
    </row>
    <row r="315">
      <c r="A315" s="22"/>
      <c r="B315" s="12"/>
      <c r="C315" s="10"/>
      <c r="D315" s="12"/>
      <c r="E315" s="10"/>
      <c r="F315" s="10"/>
      <c r="G315" s="10"/>
      <c r="H315" s="10"/>
      <c r="I315" s="10"/>
      <c r="J315" s="10"/>
      <c r="K315" s="10"/>
      <c r="L315" s="10"/>
    </row>
    <row r="316">
      <c r="A316" s="22"/>
      <c r="B316" s="12"/>
      <c r="C316" s="10"/>
      <c r="D316" s="12"/>
      <c r="E316" s="10"/>
      <c r="F316" s="10"/>
      <c r="G316" s="10"/>
      <c r="H316" s="10"/>
      <c r="I316" s="10"/>
      <c r="J316" s="10"/>
      <c r="K316" s="10"/>
      <c r="L316" s="10"/>
    </row>
    <row r="317">
      <c r="A317" s="22"/>
      <c r="B317" s="12"/>
      <c r="C317" s="10"/>
      <c r="D317" s="12"/>
      <c r="E317" s="10"/>
      <c r="F317" s="10"/>
      <c r="G317" s="10"/>
      <c r="H317" s="10"/>
      <c r="I317" s="10"/>
      <c r="J317" s="10"/>
      <c r="K317" s="10"/>
      <c r="L317" s="10"/>
    </row>
    <row r="318">
      <c r="A318" s="22"/>
      <c r="B318" s="12"/>
      <c r="C318" s="10"/>
      <c r="D318" s="12"/>
      <c r="E318" s="10"/>
      <c r="F318" s="10"/>
      <c r="G318" s="10"/>
      <c r="H318" s="10"/>
      <c r="I318" s="10"/>
      <c r="J318" s="10"/>
      <c r="K318" s="10"/>
      <c r="L318" s="10"/>
    </row>
    <row r="319">
      <c r="A319" s="22"/>
      <c r="B319" s="12"/>
      <c r="C319" s="10"/>
      <c r="D319" s="12"/>
      <c r="E319" s="10"/>
      <c r="F319" s="10"/>
      <c r="G319" s="10"/>
      <c r="H319" s="10"/>
      <c r="I319" s="10"/>
      <c r="J319" s="10"/>
      <c r="K319" s="10"/>
      <c r="L319" s="10"/>
    </row>
    <row r="320">
      <c r="A320" s="22"/>
      <c r="B320" s="12"/>
      <c r="C320" s="10"/>
      <c r="D320" s="12"/>
      <c r="E320" s="10"/>
      <c r="F320" s="10"/>
      <c r="G320" s="10"/>
      <c r="H320" s="10"/>
      <c r="I320" s="10"/>
      <c r="J320" s="10"/>
      <c r="K320" s="10"/>
      <c r="L320" s="10"/>
    </row>
    <row r="321">
      <c r="A321" s="22"/>
      <c r="B321" s="12"/>
      <c r="C321" s="10"/>
      <c r="D321" s="12"/>
      <c r="E321" s="10"/>
      <c r="F321" s="10"/>
      <c r="G321" s="10"/>
      <c r="H321" s="10"/>
      <c r="I321" s="10"/>
      <c r="J321" s="10"/>
      <c r="K321" s="10"/>
      <c r="L321" s="10"/>
    </row>
    <row r="322">
      <c r="A322" s="22"/>
      <c r="B322" s="12"/>
      <c r="C322" s="10"/>
      <c r="D322" s="12"/>
      <c r="E322" s="10"/>
      <c r="F322" s="10"/>
      <c r="G322" s="10"/>
      <c r="H322" s="10"/>
      <c r="I322" s="10"/>
      <c r="J322" s="10"/>
      <c r="K322" s="10"/>
      <c r="L322" s="10"/>
    </row>
    <row r="323">
      <c r="A323" s="22"/>
      <c r="B323" s="12"/>
      <c r="C323" s="10"/>
      <c r="D323" s="12"/>
      <c r="E323" s="10"/>
      <c r="F323" s="10"/>
      <c r="G323" s="10"/>
      <c r="H323" s="10"/>
      <c r="I323" s="10"/>
      <c r="J323" s="10"/>
      <c r="K323" s="10"/>
      <c r="L323" s="10"/>
    </row>
    <row r="324">
      <c r="A324" s="22"/>
      <c r="B324" s="12"/>
      <c r="C324" s="10"/>
      <c r="D324" s="12"/>
      <c r="E324" s="10"/>
      <c r="F324" s="10"/>
      <c r="G324" s="10"/>
      <c r="H324" s="10"/>
      <c r="I324" s="10"/>
      <c r="J324" s="10"/>
      <c r="K324" s="10"/>
      <c r="L324" s="10"/>
    </row>
    <row r="325">
      <c r="A325" s="22"/>
      <c r="B325" s="12"/>
      <c r="C325" s="10"/>
      <c r="D325" s="12"/>
      <c r="E325" s="10"/>
      <c r="F325" s="10"/>
      <c r="G325" s="10"/>
      <c r="H325" s="10"/>
      <c r="I325" s="10"/>
      <c r="J325" s="10"/>
      <c r="K325" s="10"/>
      <c r="L325" s="10"/>
    </row>
    <row r="326">
      <c r="A326" s="22"/>
      <c r="B326" s="12"/>
      <c r="C326" s="10"/>
      <c r="D326" s="12"/>
      <c r="E326" s="10"/>
      <c r="F326" s="10"/>
      <c r="G326" s="10"/>
      <c r="H326" s="10"/>
      <c r="I326" s="10"/>
      <c r="J326" s="10"/>
      <c r="K326" s="10"/>
      <c r="L326" s="10"/>
    </row>
    <row r="327">
      <c r="A327" s="22"/>
      <c r="B327" s="12"/>
      <c r="C327" s="10"/>
      <c r="D327" s="12"/>
      <c r="E327" s="10"/>
      <c r="F327" s="10"/>
      <c r="G327" s="10"/>
      <c r="H327" s="10"/>
      <c r="I327" s="10"/>
      <c r="J327" s="10"/>
      <c r="K327" s="10"/>
      <c r="L327" s="10"/>
    </row>
    <row r="328">
      <c r="A328" s="22"/>
      <c r="B328" s="12"/>
      <c r="C328" s="10"/>
      <c r="D328" s="12"/>
      <c r="E328" s="10"/>
      <c r="F328" s="10"/>
      <c r="G328" s="10"/>
      <c r="H328" s="10"/>
      <c r="I328" s="10"/>
      <c r="J328" s="10"/>
      <c r="K328" s="10"/>
      <c r="L328" s="10"/>
    </row>
    <row r="329">
      <c r="A329" s="22"/>
      <c r="B329" s="12"/>
      <c r="C329" s="10"/>
      <c r="D329" s="12"/>
      <c r="E329" s="10"/>
      <c r="F329" s="10"/>
      <c r="G329" s="10"/>
      <c r="H329" s="10"/>
      <c r="I329" s="10"/>
      <c r="J329" s="10"/>
      <c r="K329" s="10"/>
      <c r="L329" s="10"/>
    </row>
    <row r="330">
      <c r="A330" s="22"/>
      <c r="B330" s="12"/>
      <c r="C330" s="10"/>
      <c r="D330" s="12"/>
      <c r="E330" s="10"/>
      <c r="F330" s="10"/>
      <c r="G330" s="10"/>
      <c r="H330" s="10"/>
      <c r="I330" s="10"/>
      <c r="J330" s="10"/>
      <c r="K330" s="10"/>
      <c r="L330" s="10"/>
    </row>
    <row r="331">
      <c r="A331" s="22"/>
      <c r="B331" s="12"/>
      <c r="C331" s="10"/>
      <c r="D331" s="12"/>
      <c r="E331" s="10"/>
      <c r="F331" s="10"/>
      <c r="G331" s="10"/>
      <c r="H331" s="10"/>
      <c r="I331" s="10"/>
      <c r="J331" s="10"/>
      <c r="K331" s="10"/>
      <c r="L331" s="10"/>
    </row>
    <row r="332">
      <c r="A332" s="22"/>
      <c r="B332" s="12"/>
      <c r="C332" s="10"/>
      <c r="D332" s="12"/>
      <c r="E332" s="10"/>
      <c r="F332" s="10"/>
      <c r="G332" s="10"/>
      <c r="H332" s="10"/>
      <c r="I332" s="10"/>
      <c r="J332" s="10"/>
      <c r="K332" s="10"/>
      <c r="L332" s="10"/>
    </row>
    <row r="333">
      <c r="A333" s="22"/>
      <c r="B333" s="12"/>
      <c r="C333" s="10"/>
      <c r="D333" s="12"/>
      <c r="E333" s="10"/>
      <c r="F333" s="10"/>
      <c r="G333" s="10"/>
      <c r="H333" s="10"/>
      <c r="I333" s="10"/>
      <c r="J333" s="10"/>
      <c r="K333" s="10"/>
      <c r="L333" s="10"/>
    </row>
    <row r="334">
      <c r="A334" s="22"/>
      <c r="B334" s="12"/>
      <c r="C334" s="10"/>
      <c r="D334" s="12"/>
      <c r="E334" s="10"/>
      <c r="F334" s="10"/>
      <c r="G334" s="10"/>
      <c r="H334" s="10"/>
      <c r="I334" s="10"/>
      <c r="J334" s="10"/>
      <c r="K334" s="10"/>
      <c r="L334" s="10"/>
    </row>
    <row r="335">
      <c r="A335" s="22"/>
      <c r="B335" s="12"/>
      <c r="C335" s="10"/>
      <c r="D335" s="12"/>
      <c r="E335" s="10"/>
      <c r="F335" s="10"/>
      <c r="G335" s="10"/>
      <c r="H335" s="10"/>
      <c r="I335" s="10"/>
      <c r="J335" s="10"/>
      <c r="K335" s="10"/>
      <c r="L335" s="10"/>
    </row>
    <row r="336">
      <c r="A336" s="22"/>
      <c r="B336" s="12"/>
      <c r="C336" s="10"/>
      <c r="D336" s="12"/>
      <c r="E336" s="10"/>
      <c r="F336" s="10"/>
      <c r="G336" s="10"/>
      <c r="H336" s="10"/>
      <c r="I336" s="10"/>
      <c r="J336" s="10"/>
      <c r="K336" s="10"/>
      <c r="L336" s="10"/>
    </row>
    <row r="337">
      <c r="A337" s="22"/>
      <c r="B337" s="12"/>
      <c r="C337" s="10"/>
      <c r="D337" s="12"/>
      <c r="E337" s="10"/>
      <c r="F337" s="10"/>
      <c r="G337" s="10"/>
      <c r="H337" s="10"/>
      <c r="I337" s="10"/>
      <c r="J337" s="10"/>
      <c r="K337" s="10"/>
      <c r="L337" s="10"/>
    </row>
    <row r="338">
      <c r="A338" s="22"/>
      <c r="B338" s="12"/>
      <c r="C338" s="10"/>
      <c r="D338" s="12"/>
      <c r="E338" s="10"/>
      <c r="F338" s="10"/>
      <c r="G338" s="10"/>
      <c r="H338" s="10"/>
      <c r="I338" s="10"/>
      <c r="J338" s="10"/>
      <c r="K338" s="10"/>
      <c r="L338" s="10"/>
    </row>
    <row r="339">
      <c r="A339" s="22"/>
      <c r="B339" s="12"/>
      <c r="C339" s="10"/>
      <c r="D339" s="12"/>
      <c r="E339" s="10"/>
      <c r="F339" s="10"/>
      <c r="G339" s="10"/>
      <c r="H339" s="10"/>
      <c r="I339" s="10"/>
      <c r="J339" s="10"/>
      <c r="K339" s="10"/>
      <c r="L339" s="10"/>
    </row>
    <row r="340">
      <c r="A340" s="22"/>
      <c r="B340" s="12"/>
      <c r="C340" s="10"/>
      <c r="D340" s="12"/>
      <c r="E340" s="10"/>
      <c r="F340" s="10"/>
      <c r="G340" s="10"/>
      <c r="H340" s="10"/>
      <c r="I340" s="10"/>
      <c r="J340" s="10"/>
      <c r="K340" s="10"/>
      <c r="L340" s="10"/>
    </row>
    <row r="341">
      <c r="A341" s="22"/>
      <c r="B341" s="12"/>
      <c r="C341" s="10"/>
      <c r="D341" s="12"/>
      <c r="E341" s="10"/>
      <c r="F341" s="10"/>
      <c r="G341" s="10"/>
      <c r="H341" s="10"/>
      <c r="I341" s="10"/>
      <c r="J341" s="10"/>
      <c r="K341" s="10"/>
      <c r="L341" s="10"/>
    </row>
    <row r="342">
      <c r="A342" s="22"/>
      <c r="B342" s="12"/>
      <c r="C342" s="10"/>
      <c r="D342" s="12"/>
      <c r="E342" s="10"/>
      <c r="F342" s="10"/>
      <c r="G342" s="10"/>
      <c r="H342" s="10"/>
      <c r="I342" s="10"/>
      <c r="J342" s="10"/>
      <c r="K342" s="10"/>
      <c r="L342" s="10"/>
    </row>
    <row r="343">
      <c r="A343" s="22"/>
      <c r="B343" s="12"/>
      <c r="C343" s="10"/>
      <c r="D343" s="12"/>
      <c r="E343" s="10"/>
      <c r="F343" s="10"/>
      <c r="G343" s="10"/>
      <c r="H343" s="10"/>
      <c r="I343" s="10"/>
      <c r="J343" s="10"/>
      <c r="K343" s="10"/>
      <c r="L343" s="10"/>
    </row>
    <row r="344">
      <c r="A344" s="22"/>
      <c r="B344" s="12"/>
      <c r="C344" s="10"/>
      <c r="D344" s="12"/>
      <c r="E344" s="10"/>
      <c r="F344" s="10"/>
      <c r="G344" s="10"/>
      <c r="H344" s="10"/>
      <c r="I344" s="10"/>
      <c r="J344" s="10"/>
      <c r="K344" s="10"/>
      <c r="L344" s="10"/>
    </row>
    <row r="345">
      <c r="A345" s="22"/>
      <c r="B345" s="12"/>
      <c r="C345" s="10"/>
      <c r="D345" s="12"/>
      <c r="E345" s="10"/>
      <c r="F345" s="10"/>
      <c r="G345" s="10"/>
      <c r="H345" s="10"/>
      <c r="I345" s="10"/>
      <c r="J345" s="10"/>
      <c r="K345" s="10"/>
      <c r="L345" s="10"/>
    </row>
    <row r="346">
      <c r="A346" s="22"/>
      <c r="B346" s="12"/>
      <c r="C346" s="10"/>
      <c r="D346" s="12"/>
      <c r="E346" s="10"/>
      <c r="F346" s="10"/>
      <c r="G346" s="10"/>
      <c r="H346" s="10"/>
      <c r="I346" s="10"/>
      <c r="J346" s="10"/>
      <c r="K346" s="10"/>
      <c r="L346" s="10"/>
    </row>
    <row r="347">
      <c r="A347" s="22"/>
      <c r="B347" s="12"/>
      <c r="C347" s="10"/>
      <c r="D347" s="12"/>
      <c r="E347" s="10"/>
      <c r="F347" s="10"/>
      <c r="G347" s="10"/>
      <c r="H347" s="10"/>
      <c r="I347" s="10"/>
      <c r="J347" s="10"/>
      <c r="K347" s="10"/>
      <c r="L347" s="10"/>
    </row>
    <row r="348">
      <c r="A348" s="22"/>
      <c r="B348" s="12"/>
      <c r="C348" s="10"/>
      <c r="D348" s="12"/>
      <c r="E348" s="10"/>
      <c r="F348" s="10"/>
      <c r="G348" s="10"/>
      <c r="H348" s="10"/>
      <c r="I348" s="10"/>
      <c r="J348" s="10"/>
      <c r="K348" s="10"/>
      <c r="L348" s="10"/>
    </row>
    <row r="349">
      <c r="A349" s="22"/>
      <c r="B349" s="12"/>
      <c r="C349" s="10"/>
      <c r="D349" s="12"/>
      <c r="E349" s="10"/>
      <c r="F349" s="10"/>
      <c r="G349" s="10"/>
      <c r="H349" s="10"/>
      <c r="I349" s="10"/>
      <c r="J349" s="10"/>
      <c r="K349" s="10"/>
      <c r="L349" s="10"/>
    </row>
    <row r="350">
      <c r="A350" s="22"/>
      <c r="B350" s="12"/>
      <c r="C350" s="10"/>
      <c r="D350" s="12"/>
      <c r="E350" s="10"/>
      <c r="F350" s="10"/>
      <c r="G350" s="10"/>
      <c r="H350" s="10"/>
      <c r="I350" s="10"/>
      <c r="J350" s="10"/>
      <c r="K350" s="10"/>
      <c r="L350" s="10"/>
    </row>
    <row r="351">
      <c r="A351" s="22"/>
      <c r="B351" s="12"/>
      <c r="C351" s="10"/>
      <c r="D351" s="12"/>
      <c r="E351" s="10"/>
      <c r="F351" s="10"/>
      <c r="G351" s="10"/>
      <c r="H351" s="10"/>
      <c r="I351" s="10"/>
      <c r="J351" s="10"/>
      <c r="K351" s="10"/>
      <c r="L351" s="10"/>
    </row>
    <row r="352">
      <c r="A352" s="22"/>
      <c r="B352" s="12"/>
      <c r="C352" s="10"/>
      <c r="D352" s="12"/>
      <c r="E352" s="10"/>
      <c r="F352" s="10"/>
      <c r="G352" s="10"/>
      <c r="H352" s="10"/>
      <c r="I352" s="10"/>
      <c r="J352" s="10"/>
      <c r="K352" s="10"/>
      <c r="L352" s="10"/>
    </row>
    <row r="353">
      <c r="A353" s="22"/>
      <c r="B353" s="12"/>
      <c r="C353" s="10"/>
      <c r="D353" s="12"/>
      <c r="E353" s="10"/>
      <c r="F353" s="10"/>
      <c r="G353" s="10"/>
      <c r="H353" s="10"/>
      <c r="I353" s="10"/>
      <c r="J353" s="10"/>
      <c r="K353" s="10"/>
      <c r="L353" s="10"/>
    </row>
    <row r="354">
      <c r="A354" s="22"/>
      <c r="B354" s="12"/>
      <c r="C354" s="10"/>
      <c r="D354" s="12"/>
      <c r="E354" s="10"/>
      <c r="F354" s="10"/>
      <c r="G354" s="10"/>
      <c r="H354" s="10"/>
      <c r="I354" s="10"/>
      <c r="J354" s="10"/>
      <c r="K354" s="10"/>
      <c r="L354" s="10"/>
    </row>
    <row r="355">
      <c r="A355" s="22"/>
      <c r="B355" s="12"/>
      <c r="C355" s="10"/>
      <c r="D355" s="12"/>
      <c r="E355" s="10"/>
      <c r="F355" s="10"/>
      <c r="G355" s="10"/>
      <c r="H355" s="10"/>
      <c r="I355" s="10"/>
      <c r="J355" s="10"/>
      <c r="K355" s="10"/>
      <c r="L355" s="10"/>
    </row>
    <row r="356">
      <c r="A356" s="22"/>
      <c r="B356" s="12"/>
      <c r="C356" s="10"/>
      <c r="D356" s="12"/>
      <c r="E356" s="10"/>
      <c r="F356" s="10"/>
      <c r="G356" s="10"/>
      <c r="H356" s="10"/>
      <c r="I356" s="10"/>
      <c r="J356" s="10"/>
      <c r="K356" s="10"/>
      <c r="L356" s="10"/>
    </row>
    <row r="357">
      <c r="A357" s="22"/>
      <c r="B357" s="12"/>
      <c r="C357" s="10"/>
      <c r="D357" s="12"/>
      <c r="E357" s="10"/>
      <c r="F357" s="10"/>
      <c r="G357" s="10"/>
      <c r="H357" s="10"/>
      <c r="I357" s="10"/>
      <c r="J357" s="10"/>
      <c r="K357" s="10"/>
      <c r="L357" s="10"/>
    </row>
    <row r="358">
      <c r="A358" s="22"/>
      <c r="B358" s="12"/>
      <c r="C358" s="10"/>
      <c r="D358" s="12"/>
      <c r="E358" s="10"/>
      <c r="F358" s="10"/>
      <c r="G358" s="10"/>
      <c r="H358" s="10"/>
      <c r="I358" s="10"/>
      <c r="J358" s="10"/>
      <c r="K358" s="10"/>
      <c r="L358" s="10"/>
    </row>
    <row r="359">
      <c r="A359" s="22"/>
      <c r="B359" s="12"/>
      <c r="C359" s="10"/>
      <c r="D359" s="12"/>
      <c r="E359" s="10"/>
      <c r="F359" s="10"/>
      <c r="G359" s="10"/>
      <c r="H359" s="10"/>
      <c r="I359" s="10"/>
      <c r="J359" s="10"/>
      <c r="K359" s="10"/>
      <c r="L359" s="10"/>
    </row>
    <row r="360">
      <c r="A360" s="22"/>
      <c r="B360" s="12"/>
      <c r="C360" s="10"/>
      <c r="D360" s="12"/>
      <c r="E360" s="10"/>
      <c r="F360" s="10"/>
      <c r="G360" s="10"/>
      <c r="H360" s="10"/>
      <c r="I360" s="10"/>
      <c r="J360" s="10"/>
      <c r="K360" s="10"/>
      <c r="L360" s="10"/>
    </row>
    <row r="361">
      <c r="A361" s="22"/>
      <c r="B361" s="12"/>
      <c r="C361" s="10"/>
      <c r="D361" s="12"/>
      <c r="E361" s="10"/>
      <c r="F361" s="10"/>
      <c r="G361" s="10"/>
      <c r="H361" s="10"/>
      <c r="I361" s="10"/>
      <c r="J361" s="10"/>
      <c r="K361" s="10"/>
      <c r="L361" s="10"/>
    </row>
    <row r="362">
      <c r="A362" s="22"/>
      <c r="B362" s="12"/>
      <c r="C362" s="10"/>
      <c r="D362" s="12"/>
      <c r="E362" s="10"/>
      <c r="F362" s="10"/>
      <c r="G362" s="10"/>
      <c r="H362" s="10"/>
      <c r="I362" s="10"/>
      <c r="J362" s="10"/>
      <c r="K362" s="10"/>
      <c r="L362" s="10"/>
    </row>
    <row r="363">
      <c r="A363" s="22"/>
      <c r="B363" s="12"/>
      <c r="C363" s="10"/>
      <c r="D363" s="12"/>
      <c r="E363" s="10"/>
      <c r="F363" s="10"/>
      <c r="G363" s="10"/>
      <c r="H363" s="10"/>
      <c r="I363" s="10"/>
      <c r="J363" s="10"/>
      <c r="K363" s="10"/>
      <c r="L363" s="10"/>
    </row>
    <row r="364">
      <c r="A364" s="22"/>
      <c r="B364" s="12"/>
      <c r="C364" s="10"/>
      <c r="D364" s="12"/>
      <c r="E364" s="10"/>
      <c r="F364" s="10"/>
      <c r="G364" s="10"/>
      <c r="H364" s="10"/>
      <c r="I364" s="10"/>
      <c r="J364" s="10"/>
      <c r="K364" s="10"/>
      <c r="L364" s="10"/>
    </row>
    <row r="365">
      <c r="A365" s="22"/>
      <c r="B365" s="12"/>
      <c r="C365" s="10"/>
      <c r="D365" s="12"/>
      <c r="E365" s="10"/>
      <c r="F365" s="10"/>
      <c r="G365" s="10"/>
      <c r="H365" s="10"/>
      <c r="I365" s="10"/>
      <c r="J365" s="10"/>
      <c r="K365" s="10"/>
      <c r="L365" s="10"/>
    </row>
    <row r="366">
      <c r="A366" s="22"/>
      <c r="B366" s="12"/>
      <c r="C366" s="10"/>
      <c r="D366" s="12"/>
      <c r="E366" s="10"/>
      <c r="F366" s="10"/>
      <c r="G366" s="10"/>
      <c r="H366" s="10"/>
      <c r="I366" s="10"/>
      <c r="J366" s="10"/>
      <c r="K366" s="10"/>
      <c r="L366" s="10"/>
    </row>
    <row r="367">
      <c r="A367" s="22"/>
      <c r="B367" s="12"/>
      <c r="C367" s="10"/>
      <c r="D367" s="12"/>
      <c r="E367" s="10"/>
      <c r="F367" s="10"/>
      <c r="G367" s="10"/>
      <c r="H367" s="10"/>
      <c r="I367" s="10"/>
      <c r="J367" s="10"/>
      <c r="K367" s="10"/>
      <c r="L367" s="10"/>
    </row>
    <row r="368">
      <c r="A368" s="22"/>
      <c r="B368" s="12"/>
      <c r="C368" s="10"/>
      <c r="D368" s="12"/>
      <c r="E368" s="10"/>
      <c r="F368" s="10"/>
      <c r="G368" s="10"/>
      <c r="H368" s="10"/>
      <c r="I368" s="10"/>
      <c r="J368" s="10"/>
      <c r="K368" s="10"/>
      <c r="L368" s="10"/>
    </row>
    <row r="369">
      <c r="A369" s="22"/>
      <c r="B369" s="12"/>
      <c r="C369" s="10"/>
      <c r="D369" s="12"/>
      <c r="E369" s="10"/>
      <c r="F369" s="10"/>
      <c r="G369" s="10"/>
      <c r="H369" s="10"/>
      <c r="I369" s="10"/>
      <c r="J369" s="10"/>
      <c r="K369" s="10"/>
      <c r="L369" s="10"/>
    </row>
    <row r="370">
      <c r="A370" s="22"/>
      <c r="B370" s="12"/>
      <c r="C370" s="10"/>
      <c r="D370" s="12"/>
      <c r="E370" s="10"/>
      <c r="F370" s="10"/>
      <c r="G370" s="10"/>
      <c r="H370" s="10"/>
      <c r="I370" s="10"/>
      <c r="J370" s="10"/>
      <c r="K370" s="10"/>
      <c r="L370" s="10"/>
    </row>
    <row r="371">
      <c r="A371" s="22"/>
      <c r="B371" s="12"/>
      <c r="C371" s="10"/>
      <c r="D371" s="12"/>
      <c r="E371" s="10"/>
      <c r="F371" s="10"/>
      <c r="G371" s="10"/>
      <c r="H371" s="10"/>
      <c r="I371" s="10"/>
      <c r="J371" s="10"/>
      <c r="K371" s="10"/>
      <c r="L371" s="10"/>
    </row>
    <row r="372">
      <c r="A372" s="22"/>
      <c r="B372" s="12"/>
      <c r="C372" s="10"/>
      <c r="D372" s="12"/>
      <c r="E372" s="10"/>
      <c r="F372" s="10"/>
      <c r="G372" s="10"/>
      <c r="H372" s="10"/>
      <c r="I372" s="10"/>
      <c r="J372" s="10"/>
      <c r="K372" s="10"/>
      <c r="L372" s="10"/>
    </row>
    <row r="373">
      <c r="A373" s="22"/>
      <c r="B373" s="12"/>
      <c r="C373" s="10"/>
      <c r="D373" s="12"/>
      <c r="E373" s="10"/>
      <c r="F373" s="10"/>
      <c r="G373" s="10"/>
      <c r="H373" s="10"/>
      <c r="I373" s="10"/>
      <c r="J373" s="10"/>
      <c r="K373" s="10"/>
      <c r="L373" s="10"/>
    </row>
    <row r="374">
      <c r="A374" s="22"/>
      <c r="B374" s="12"/>
      <c r="C374" s="10"/>
      <c r="D374" s="12"/>
      <c r="E374" s="10"/>
      <c r="F374" s="10"/>
      <c r="G374" s="10"/>
      <c r="H374" s="10"/>
      <c r="I374" s="10"/>
      <c r="J374" s="10"/>
      <c r="K374" s="10"/>
      <c r="L374" s="10"/>
    </row>
    <row r="375">
      <c r="A375" s="22"/>
      <c r="B375" s="12"/>
      <c r="C375" s="10"/>
      <c r="D375" s="12"/>
      <c r="E375" s="10"/>
      <c r="F375" s="10"/>
      <c r="G375" s="10"/>
      <c r="H375" s="10"/>
      <c r="I375" s="10"/>
      <c r="J375" s="10"/>
      <c r="K375" s="10"/>
      <c r="L375" s="10"/>
    </row>
    <row r="376">
      <c r="A376" s="22"/>
      <c r="B376" s="12"/>
      <c r="C376" s="10"/>
      <c r="D376" s="12"/>
      <c r="E376" s="10"/>
      <c r="F376" s="10"/>
      <c r="G376" s="10"/>
      <c r="H376" s="10"/>
      <c r="I376" s="10"/>
      <c r="J376" s="10"/>
      <c r="K376" s="10"/>
      <c r="L376" s="10"/>
    </row>
    <row r="377">
      <c r="A377" s="22"/>
      <c r="B377" s="12"/>
      <c r="C377" s="10"/>
      <c r="D377" s="12"/>
      <c r="E377" s="10"/>
      <c r="F377" s="10"/>
      <c r="G377" s="10"/>
      <c r="H377" s="10"/>
      <c r="I377" s="10"/>
      <c r="J377" s="10"/>
      <c r="K377" s="10"/>
      <c r="L377" s="10"/>
    </row>
    <row r="378">
      <c r="A378" s="22"/>
      <c r="B378" s="12"/>
      <c r="C378" s="10"/>
      <c r="D378" s="12"/>
      <c r="E378" s="10"/>
      <c r="F378" s="10"/>
      <c r="G378" s="10"/>
      <c r="H378" s="10"/>
      <c r="I378" s="10"/>
      <c r="J378" s="10"/>
      <c r="K378" s="10"/>
      <c r="L378" s="10"/>
    </row>
    <row r="379">
      <c r="A379" s="22"/>
      <c r="B379" s="12"/>
      <c r="C379" s="10"/>
      <c r="D379" s="12"/>
      <c r="E379" s="10"/>
      <c r="F379" s="10"/>
      <c r="G379" s="10"/>
      <c r="H379" s="10"/>
      <c r="I379" s="10"/>
      <c r="J379" s="10"/>
      <c r="K379" s="10"/>
      <c r="L379" s="10"/>
    </row>
    <row r="380">
      <c r="A380" s="22"/>
      <c r="B380" s="12"/>
      <c r="C380" s="10"/>
      <c r="D380" s="12"/>
      <c r="E380" s="10"/>
      <c r="F380" s="10"/>
      <c r="G380" s="10"/>
      <c r="H380" s="10"/>
      <c r="I380" s="10"/>
      <c r="J380" s="10"/>
      <c r="K380" s="10"/>
      <c r="L380" s="10"/>
    </row>
    <row r="381">
      <c r="A381" s="22"/>
      <c r="B381" s="12"/>
      <c r="C381" s="10"/>
      <c r="D381" s="12"/>
      <c r="E381" s="10"/>
      <c r="F381" s="10"/>
      <c r="G381" s="10"/>
      <c r="H381" s="10"/>
      <c r="I381" s="10"/>
      <c r="J381" s="10"/>
      <c r="K381" s="10"/>
      <c r="L381" s="10"/>
    </row>
    <row r="382">
      <c r="A382" s="22"/>
      <c r="B382" s="12"/>
      <c r="C382" s="10"/>
      <c r="D382" s="12"/>
      <c r="E382" s="10"/>
      <c r="F382" s="10"/>
      <c r="G382" s="10"/>
      <c r="H382" s="10"/>
      <c r="I382" s="10"/>
      <c r="J382" s="10"/>
      <c r="K382" s="10"/>
      <c r="L382" s="10"/>
    </row>
    <row r="383">
      <c r="A383" s="22"/>
      <c r="B383" s="12"/>
      <c r="C383" s="10"/>
      <c r="D383" s="12"/>
      <c r="E383" s="10"/>
      <c r="F383" s="10"/>
      <c r="G383" s="10"/>
      <c r="H383" s="10"/>
      <c r="I383" s="10"/>
      <c r="J383" s="10"/>
      <c r="K383" s="10"/>
      <c r="L383" s="10"/>
    </row>
    <row r="384">
      <c r="A384" s="22"/>
      <c r="B384" s="12"/>
      <c r="C384" s="10"/>
      <c r="D384" s="12"/>
      <c r="E384" s="10"/>
      <c r="F384" s="10"/>
      <c r="G384" s="10"/>
      <c r="H384" s="10"/>
      <c r="I384" s="10"/>
      <c r="J384" s="10"/>
      <c r="K384" s="10"/>
      <c r="L384" s="10"/>
    </row>
    <row r="385">
      <c r="A385" s="22"/>
      <c r="B385" s="12"/>
      <c r="C385" s="10"/>
      <c r="D385" s="12"/>
      <c r="E385" s="10"/>
      <c r="F385" s="10"/>
      <c r="G385" s="10"/>
      <c r="H385" s="10"/>
      <c r="I385" s="10"/>
      <c r="J385" s="10"/>
      <c r="K385" s="10"/>
      <c r="L385" s="10"/>
    </row>
    <row r="386">
      <c r="A386" s="22"/>
      <c r="B386" s="12"/>
      <c r="C386" s="10"/>
      <c r="D386" s="12"/>
      <c r="E386" s="10"/>
      <c r="F386" s="10"/>
      <c r="G386" s="10"/>
      <c r="H386" s="10"/>
      <c r="I386" s="10"/>
      <c r="J386" s="10"/>
      <c r="K386" s="10"/>
      <c r="L386" s="10"/>
    </row>
    <row r="387">
      <c r="A387" s="22"/>
      <c r="B387" s="12"/>
      <c r="C387" s="10"/>
      <c r="D387" s="12"/>
      <c r="E387" s="10"/>
      <c r="F387" s="10"/>
      <c r="G387" s="10"/>
      <c r="H387" s="10"/>
      <c r="I387" s="10"/>
      <c r="J387" s="10"/>
      <c r="K387" s="10"/>
      <c r="L387" s="10"/>
    </row>
    <row r="388">
      <c r="A388" s="22"/>
      <c r="B388" s="12"/>
      <c r="C388" s="10"/>
      <c r="D388" s="12"/>
      <c r="E388" s="10"/>
      <c r="F388" s="10"/>
      <c r="G388" s="10"/>
      <c r="H388" s="10"/>
      <c r="I388" s="10"/>
      <c r="J388" s="10"/>
      <c r="K388" s="10"/>
      <c r="L388" s="10"/>
    </row>
    <row r="389">
      <c r="A389" s="22"/>
      <c r="B389" s="12"/>
      <c r="C389" s="10"/>
      <c r="D389" s="12"/>
      <c r="E389" s="10"/>
      <c r="F389" s="10"/>
      <c r="G389" s="10"/>
      <c r="H389" s="10"/>
      <c r="I389" s="10"/>
      <c r="J389" s="10"/>
      <c r="K389" s="10"/>
      <c r="L389" s="10"/>
    </row>
    <row r="390">
      <c r="A390" s="22"/>
      <c r="B390" s="12"/>
      <c r="C390" s="10"/>
      <c r="D390" s="12"/>
      <c r="E390" s="10"/>
      <c r="F390" s="10"/>
      <c r="G390" s="10"/>
      <c r="H390" s="10"/>
      <c r="I390" s="10"/>
      <c r="J390" s="10"/>
      <c r="K390" s="10"/>
      <c r="L390" s="10"/>
    </row>
    <row r="391">
      <c r="A391" s="22"/>
      <c r="B391" s="12"/>
      <c r="C391" s="10"/>
      <c r="D391" s="12"/>
      <c r="E391" s="10"/>
      <c r="F391" s="10"/>
      <c r="G391" s="10"/>
      <c r="H391" s="10"/>
      <c r="I391" s="10"/>
      <c r="J391" s="10"/>
      <c r="K391" s="10"/>
      <c r="L391" s="10"/>
    </row>
    <row r="392">
      <c r="A392" s="22"/>
      <c r="B392" s="12"/>
      <c r="C392" s="10"/>
      <c r="D392" s="12"/>
      <c r="E392" s="10"/>
      <c r="F392" s="10"/>
      <c r="G392" s="10"/>
      <c r="H392" s="10"/>
      <c r="I392" s="10"/>
      <c r="J392" s="10"/>
      <c r="K392" s="10"/>
      <c r="L392" s="10"/>
    </row>
    <row r="393">
      <c r="A393" s="22"/>
      <c r="B393" s="12"/>
      <c r="C393" s="10"/>
      <c r="D393" s="12"/>
      <c r="E393" s="10"/>
      <c r="F393" s="10"/>
      <c r="G393" s="10"/>
      <c r="H393" s="10"/>
      <c r="I393" s="10"/>
      <c r="J393" s="10"/>
      <c r="K393" s="10"/>
      <c r="L393" s="10"/>
    </row>
    <row r="394">
      <c r="A394" s="22"/>
      <c r="B394" s="12"/>
      <c r="C394" s="10"/>
      <c r="D394" s="12"/>
      <c r="E394" s="10"/>
      <c r="F394" s="10"/>
      <c r="G394" s="10"/>
      <c r="H394" s="10"/>
      <c r="I394" s="10"/>
      <c r="J394" s="10"/>
      <c r="K394" s="10"/>
      <c r="L394" s="10"/>
    </row>
    <row r="395">
      <c r="A395" s="22"/>
      <c r="B395" s="12"/>
      <c r="C395" s="10"/>
      <c r="D395" s="12"/>
      <c r="E395" s="10"/>
      <c r="F395" s="10"/>
      <c r="G395" s="10"/>
      <c r="H395" s="10"/>
      <c r="I395" s="10"/>
      <c r="J395" s="10"/>
      <c r="K395" s="10"/>
      <c r="L395" s="10"/>
    </row>
    <row r="396">
      <c r="A396" s="22"/>
      <c r="B396" s="12"/>
      <c r="C396" s="10"/>
      <c r="D396" s="12"/>
      <c r="E396" s="10"/>
      <c r="F396" s="10"/>
      <c r="G396" s="10"/>
      <c r="H396" s="10"/>
      <c r="I396" s="10"/>
      <c r="J396" s="10"/>
      <c r="K396" s="10"/>
      <c r="L396" s="10"/>
    </row>
    <row r="397">
      <c r="A397" s="22"/>
      <c r="B397" s="12"/>
      <c r="C397" s="10"/>
      <c r="D397" s="12"/>
      <c r="E397" s="10"/>
      <c r="F397" s="10"/>
      <c r="G397" s="10"/>
      <c r="H397" s="10"/>
      <c r="I397" s="10"/>
      <c r="J397" s="10"/>
      <c r="K397" s="10"/>
      <c r="L397" s="10"/>
    </row>
    <row r="398">
      <c r="A398" s="22"/>
      <c r="B398" s="12"/>
      <c r="C398" s="10"/>
      <c r="D398" s="12"/>
      <c r="E398" s="10"/>
      <c r="F398" s="10"/>
      <c r="G398" s="10"/>
      <c r="H398" s="10"/>
      <c r="I398" s="10"/>
      <c r="J398" s="10"/>
      <c r="K398" s="10"/>
      <c r="L398" s="10"/>
    </row>
    <row r="399">
      <c r="A399" s="22"/>
      <c r="B399" s="12"/>
      <c r="C399" s="10"/>
      <c r="D399" s="12"/>
      <c r="E399" s="10"/>
      <c r="F399" s="10"/>
      <c r="G399" s="10"/>
      <c r="H399" s="10"/>
      <c r="I399" s="10"/>
      <c r="J399" s="10"/>
      <c r="K399" s="10"/>
      <c r="L399" s="10"/>
    </row>
    <row r="400">
      <c r="A400" s="22"/>
      <c r="B400" s="12"/>
      <c r="C400" s="10"/>
      <c r="D400" s="12"/>
      <c r="E400" s="10"/>
      <c r="F400" s="10"/>
      <c r="G400" s="10"/>
      <c r="H400" s="10"/>
      <c r="I400" s="10"/>
      <c r="J400" s="10"/>
      <c r="K400" s="10"/>
      <c r="L400" s="10"/>
    </row>
    <row r="401">
      <c r="A401" s="22"/>
      <c r="B401" s="12"/>
      <c r="C401" s="10"/>
      <c r="D401" s="12"/>
      <c r="E401" s="10"/>
      <c r="F401" s="10"/>
      <c r="G401" s="10"/>
      <c r="H401" s="10"/>
      <c r="I401" s="10"/>
      <c r="J401" s="10"/>
      <c r="K401" s="10"/>
      <c r="L401" s="10"/>
    </row>
    <row r="402">
      <c r="A402" s="22"/>
      <c r="B402" s="12"/>
      <c r="C402" s="10"/>
      <c r="D402" s="12"/>
      <c r="E402" s="10"/>
      <c r="F402" s="10"/>
      <c r="G402" s="10"/>
      <c r="H402" s="10"/>
      <c r="I402" s="10"/>
      <c r="J402" s="10"/>
      <c r="K402" s="10"/>
      <c r="L402" s="10"/>
    </row>
    <row r="403">
      <c r="A403" s="22"/>
      <c r="B403" s="12"/>
      <c r="C403" s="10"/>
      <c r="D403" s="12"/>
      <c r="E403" s="10"/>
      <c r="F403" s="10"/>
      <c r="G403" s="10"/>
      <c r="H403" s="10"/>
      <c r="I403" s="10"/>
      <c r="J403" s="10"/>
      <c r="K403" s="10"/>
      <c r="L403" s="10"/>
    </row>
    <row r="404">
      <c r="A404" s="22"/>
      <c r="B404" s="12"/>
      <c r="C404" s="10"/>
      <c r="D404" s="12"/>
      <c r="E404" s="10"/>
      <c r="F404" s="10"/>
      <c r="G404" s="10"/>
      <c r="H404" s="10"/>
      <c r="I404" s="10"/>
      <c r="J404" s="10"/>
      <c r="K404" s="10"/>
      <c r="L404" s="10"/>
    </row>
    <row r="405">
      <c r="A405" s="22"/>
      <c r="B405" s="12"/>
      <c r="C405" s="10"/>
      <c r="D405" s="12"/>
      <c r="E405" s="10"/>
      <c r="F405" s="10"/>
      <c r="G405" s="10"/>
      <c r="H405" s="10"/>
      <c r="I405" s="10"/>
      <c r="J405" s="10"/>
      <c r="K405" s="10"/>
      <c r="L405" s="10"/>
    </row>
    <row r="406">
      <c r="A406" s="22"/>
      <c r="B406" s="12"/>
      <c r="C406" s="10"/>
      <c r="D406" s="12"/>
      <c r="E406" s="10"/>
      <c r="F406" s="10"/>
      <c r="G406" s="10"/>
      <c r="H406" s="10"/>
      <c r="I406" s="10"/>
      <c r="J406" s="10"/>
      <c r="K406" s="10"/>
      <c r="L406" s="10"/>
    </row>
    <row r="407">
      <c r="A407" s="22"/>
      <c r="B407" s="12"/>
      <c r="C407" s="10"/>
      <c r="D407" s="12"/>
      <c r="E407" s="10"/>
      <c r="F407" s="10"/>
      <c r="G407" s="10"/>
      <c r="H407" s="10"/>
      <c r="I407" s="10"/>
      <c r="J407" s="10"/>
      <c r="K407" s="10"/>
      <c r="L407" s="10"/>
    </row>
    <row r="408">
      <c r="A408" s="22"/>
      <c r="B408" s="12"/>
      <c r="C408" s="10"/>
      <c r="D408" s="12"/>
      <c r="E408" s="10"/>
      <c r="F408" s="10"/>
      <c r="G408" s="10"/>
      <c r="H408" s="10"/>
      <c r="I408" s="10"/>
      <c r="J408" s="10"/>
      <c r="K408" s="10"/>
      <c r="L408" s="10"/>
    </row>
    <row r="409">
      <c r="A409" s="22"/>
      <c r="B409" s="12"/>
      <c r="C409" s="10"/>
      <c r="D409" s="12"/>
      <c r="E409" s="10"/>
      <c r="F409" s="10"/>
      <c r="G409" s="10"/>
      <c r="H409" s="10"/>
      <c r="I409" s="10"/>
      <c r="J409" s="10"/>
      <c r="K409" s="10"/>
      <c r="L409" s="10"/>
    </row>
    <row r="410">
      <c r="A410" s="22"/>
      <c r="B410" s="12"/>
      <c r="C410" s="10"/>
      <c r="D410" s="12"/>
      <c r="E410" s="10"/>
      <c r="F410" s="10"/>
      <c r="G410" s="10"/>
      <c r="H410" s="10"/>
      <c r="I410" s="10"/>
      <c r="J410" s="10"/>
      <c r="K410" s="10"/>
      <c r="L410" s="10"/>
    </row>
    <row r="411">
      <c r="A411" s="22"/>
      <c r="B411" s="12"/>
      <c r="C411" s="10"/>
      <c r="D411" s="12"/>
      <c r="E411" s="10"/>
      <c r="F411" s="10"/>
      <c r="G411" s="10"/>
      <c r="H411" s="10"/>
      <c r="I411" s="10"/>
      <c r="J411" s="10"/>
      <c r="K411" s="10"/>
      <c r="L411" s="10"/>
    </row>
    <row r="412">
      <c r="A412" s="22"/>
      <c r="B412" s="12"/>
      <c r="C412" s="10"/>
      <c r="D412" s="12"/>
      <c r="E412" s="10"/>
      <c r="F412" s="10"/>
      <c r="G412" s="10"/>
      <c r="H412" s="10"/>
      <c r="I412" s="10"/>
      <c r="J412" s="10"/>
      <c r="K412" s="10"/>
      <c r="L412" s="10"/>
    </row>
    <row r="413">
      <c r="A413" s="22"/>
      <c r="B413" s="12"/>
      <c r="C413" s="10"/>
      <c r="D413" s="12"/>
      <c r="E413" s="10"/>
      <c r="F413" s="10"/>
      <c r="G413" s="10"/>
      <c r="H413" s="10"/>
      <c r="I413" s="10"/>
      <c r="J413" s="10"/>
      <c r="K413" s="10"/>
      <c r="L413" s="10"/>
    </row>
    <row r="414">
      <c r="A414" s="22"/>
      <c r="B414" s="12"/>
      <c r="C414" s="10"/>
      <c r="D414" s="12"/>
      <c r="E414" s="10"/>
      <c r="F414" s="10"/>
      <c r="G414" s="10"/>
      <c r="H414" s="10"/>
      <c r="I414" s="10"/>
      <c r="J414" s="10"/>
      <c r="K414" s="10"/>
      <c r="L414" s="10"/>
    </row>
    <row r="415">
      <c r="A415" s="22"/>
      <c r="B415" s="12"/>
      <c r="C415" s="10"/>
      <c r="D415" s="12"/>
      <c r="E415" s="10"/>
      <c r="F415" s="10"/>
      <c r="G415" s="10"/>
      <c r="H415" s="10"/>
      <c r="I415" s="10"/>
      <c r="J415" s="10"/>
      <c r="K415" s="10"/>
      <c r="L415" s="10"/>
    </row>
    <row r="416">
      <c r="A416" s="22"/>
      <c r="B416" s="12"/>
      <c r="C416" s="10"/>
      <c r="D416" s="12"/>
      <c r="E416" s="10"/>
      <c r="F416" s="10"/>
      <c r="G416" s="10"/>
      <c r="H416" s="10"/>
      <c r="I416" s="10"/>
      <c r="J416" s="10"/>
      <c r="K416" s="10"/>
      <c r="L416" s="10"/>
    </row>
    <row r="417">
      <c r="A417" s="22"/>
      <c r="B417" s="12"/>
      <c r="C417" s="10"/>
      <c r="D417" s="12"/>
      <c r="E417" s="10"/>
      <c r="F417" s="10"/>
      <c r="G417" s="10"/>
      <c r="H417" s="10"/>
      <c r="I417" s="10"/>
      <c r="J417" s="10"/>
      <c r="K417" s="10"/>
      <c r="L417" s="10"/>
    </row>
    <row r="418">
      <c r="A418" s="22"/>
      <c r="B418" s="12"/>
      <c r="C418" s="10"/>
      <c r="D418" s="12"/>
      <c r="E418" s="10"/>
      <c r="F418" s="10"/>
      <c r="G418" s="10"/>
      <c r="H418" s="10"/>
      <c r="I418" s="10"/>
      <c r="J418" s="10"/>
      <c r="K418" s="10"/>
      <c r="L418" s="10"/>
    </row>
    <row r="419">
      <c r="A419" s="22"/>
      <c r="B419" s="12"/>
      <c r="C419" s="10"/>
      <c r="D419" s="12"/>
      <c r="E419" s="10"/>
      <c r="F419" s="10"/>
      <c r="G419" s="10"/>
      <c r="H419" s="10"/>
      <c r="I419" s="10"/>
      <c r="J419" s="10"/>
      <c r="K419" s="10"/>
      <c r="L419" s="10"/>
    </row>
    <row r="420">
      <c r="A420" s="22"/>
      <c r="B420" s="12"/>
      <c r="C420" s="10"/>
      <c r="D420" s="12"/>
      <c r="E420" s="10"/>
      <c r="F420" s="10"/>
      <c r="G420" s="10"/>
      <c r="H420" s="10"/>
      <c r="I420" s="10"/>
      <c r="J420" s="10"/>
      <c r="K420" s="10"/>
      <c r="L420" s="10"/>
    </row>
    <row r="421">
      <c r="A421" s="22"/>
      <c r="B421" s="12"/>
      <c r="C421" s="10"/>
      <c r="D421" s="12"/>
      <c r="E421" s="10"/>
      <c r="F421" s="10"/>
      <c r="G421" s="10"/>
      <c r="H421" s="10"/>
      <c r="I421" s="10"/>
      <c r="J421" s="10"/>
      <c r="K421" s="10"/>
      <c r="L421" s="10"/>
    </row>
    <row r="422">
      <c r="A422" s="22"/>
      <c r="B422" s="12"/>
      <c r="C422" s="10"/>
      <c r="D422" s="12"/>
      <c r="E422" s="10"/>
      <c r="F422" s="10"/>
      <c r="G422" s="10"/>
      <c r="H422" s="10"/>
      <c r="I422" s="10"/>
      <c r="J422" s="10"/>
      <c r="K422" s="10"/>
      <c r="L422" s="10"/>
    </row>
    <row r="423">
      <c r="A423" s="22"/>
      <c r="B423" s="12"/>
      <c r="C423" s="10"/>
      <c r="D423" s="12"/>
      <c r="E423" s="10"/>
      <c r="F423" s="10"/>
      <c r="G423" s="10"/>
      <c r="H423" s="10"/>
      <c r="I423" s="10"/>
      <c r="J423" s="10"/>
      <c r="K423" s="10"/>
      <c r="L423" s="10"/>
    </row>
    <row r="424">
      <c r="A424" s="22"/>
      <c r="B424" s="12"/>
      <c r="C424" s="10"/>
      <c r="D424" s="12"/>
      <c r="E424" s="10"/>
      <c r="F424" s="10"/>
      <c r="G424" s="10"/>
      <c r="H424" s="10"/>
      <c r="I424" s="10"/>
      <c r="J424" s="10"/>
      <c r="K424" s="10"/>
      <c r="L424" s="10"/>
    </row>
    <row r="425">
      <c r="A425" s="22"/>
      <c r="B425" s="12"/>
      <c r="C425" s="10"/>
      <c r="D425" s="12"/>
      <c r="E425" s="10"/>
      <c r="F425" s="10"/>
      <c r="G425" s="10"/>
      <c r="H425" s="10"/>
      <c r="I425" s="10"/>
      <c r="J425" s="10"/>
      <c r="K425" s="10"/>
      <c r="L425" s="10"/>
    </row>
    <row r="426">
      <c r="A426" s="22"/>
      <c r="B426" s="12"/>
      <c r="C426" s="10"/>
      <c r="D426" s="12"/>
      <c r="E426" s="10"/>
      <c r="F426" s="10"/>
      <c r="G426" s="10"/>
      <c r="H426" s="10"/>
      <c r="I426" s="10"/>
      <c r="J426" s="10"/>
      <c r="K426" s="10"/>
      <c r="L426" s="10"/>
    </row>
    <row r="427">
      <c r="A427" s="22"/>
      <c r="B427" s="12"/>
      <c r="C427" s="10"/>
      <c r="D427" s="12"/>
      <c r="E427" s="10"/>
      <c r="F427" s="10"/>
      <c r="G427" s="10"/>
      <c r="H427" s="10"/>
      <c r="I427" s="10"/>
      <c r="J427" s="10"/>
      <c r="K427" s="10"/>
      <c r="L427" s="10"/>
    </row>
    <row r="428">
      <c r="A428" s="22"/>
      <c r="B428" s="12"/>
      <c r="C428" s="10"/>
      <c r="D428" s="12"/>
      <c r="E428" s="10"/>
      <c r="F428" s="10"/>
      <c r="G428" s="10"/>
      <c r="H428" s="10"/>
      <c r="I428" s="10"/>
      <c r="J428" s="10"/>
      <c r="K428" s="10"/>
      <c r="L428" s="10"/>
    </row>
    <row r="429">
      <c r="A429" s="22"/>
      <c r="B429" s="12"/>
      <c r="C429" s="10"/>
      <c r="D429" s="12"/>
      <c r="E429" s="10"/>
      <c r="F429" s="10"/>
      <c r="G429" s="10"/>
      <c r="H429" s="10"/>
      <c r="I429" s="10"/>
      <c r="J429" s="10"/>
      <c r="K429" s="10"/>
      <c r="L429" s="10"/>
    </row>
    <row r="430">
      <c r="A430" s="22"/>
      <c r="B430" s="12"/>
      <c r="C430" s="10"/>
      <c r="D430" s="12"/>
      <c r="E430" s="10"/>
      <c r="F430" s="10"/>
      <c r="G430" s="10"/>
      <c r="H430" s="10"/>
      <c r="I430" s="10"/>
      <c r="J430" s="10"/>
      <c r="K430" s="10"/>
      <c r="L430" s="10"/>
    </row>
    <row r="431">
      <c r="A431" s="22"/>
      <c r="B431" s="12"/>
      <c r="C431" s="10"/>
      <c r="D431" s="12"/>
      <c r="E431" s="10"/>
      <c r="F431" s="10"/>
      <c r="G431" s="10"/>
      <c r="H431" s="10"/>
      <c r="I431" s="10"/>
      <c r="J431" s="10"/>
      <c r="K431" s="10"/>
      <c r="L431" s="10"/>
    </row>
    <row r="432">
      <c r="A432" s="22"/>
      <c r="B432" s="12"/>
      <c r="C432" s="10"/>
      <c r="D432" s="12"/>
      <c r="E432" s="10"/>
      <c r="F432" s="10"/>
      <c r="G432" s="10"/>
      <c r="H432" s="10"/>
      <c r="I432" s="10"/>
      <c r="J432" s="10"/>
      <c r="K432" s="10"/>
      <c r="L432" s="10"/>
    </row>
    <row r="433">
      <c r="A433" s="22"/>
      <c r="B433" s="12"/>
      <c r="C433" s="10"/>
      <c r="D433" s="12"/>
      <c r="E433" s="10"/>
      <c r="F433" s="10"/>
      <c r="G433" s="10"/>
      <c r="H433" s="10"/>
      <c r="I433" s="10"/>
      <c r="J433" s="10"/>
      <c r="K433" s="10"/>
      <c r="L433" s="10"/>
    </row>
    <row r="434">
      <c r="A434" s="22"/>
      <c r="B434" s="12"/>
      <c r="C434" s="10"/>
      <c r="D434" s="12"/>
      <c r="E434" s="10"/>
      <c r="F434" s="10"/>
      <c r="G434" s="10"/>
      <c r="H434" s="10"/>
      <c r="I434" s="10"/>
      <c r="J434" s="10"/>
      <c r="K434" s="10"/>
      <c r="L434" s="10"/>
    </row>
    <row r="435">
      <c r="A435" s="22"/>
      <c r="B435" s="12"/>
      <c r="C435" s="10"/>
      <c r="D435" s="12"/>
      <c r="E435" s="10"/>
      <c r="F435" s="10"/>
      <c r="G435" s="10"/>
      <c r="H435" s="10"/>
      <c r="I435" s="10"/>
      <c r="J435" s="10"/>
      <c r="K435" s="10"/>
      <c r="L435" s="10"/>
    </row>
    <row r="436">
      <c r="A436" s="22"/>
      <c r="B436" s="12"/>
      <c r="C436" s="10"/>
      <c r="D436" s="12"/>
      <c r="E436" s="10"/>
      <c r="F436" s="10"/>
      <c r="G436" s="10"/>
      <c r="H436" s="10"/>
      <c r="I436" s="10"/>
      <c r="J436" s="10"/>
      <c r="K436" s="10"/>
      <c r="L436" s="10"/>
    </row>
    <row r="437">
      <c r="A437" s="22"/>
      <c r="B437" s="12"/>
      <c r="C437" s="10"/>
      <c r="D437" s="12"/>
      <c r="E437" s="10"/>
      <c r="F437" s="10"/>
      <c r="G437" s="10"/>
      <c r="H437" s="10"/>
      <c r="I437" s="10"/>
      <c r="J437" s="10"/>
      <c r="K437" s="10"/>
      <c r="L437" s="10"/>
    </row>
    <row r="438">
      <c r="A438" s="22"/>
      <c r="B438" s="12"/>
      <c r="C438" s="10"/>
      <c r="D438" s="12"/>
      <c r="E438" s="10"/>
      <c r="F438" s="10"/>
      <c r="G438" s="10"/>
      <c r="H438" s="10"/>
      <c r="I438" s="10"/>
      <c r="J438" s="10"/>
      <c r="K438" s="10"/>
      <c r="L438" s="10"/>
    </row>
    <row r="439">
      <c r="A439" s="22"/>
      <c r="B439" s="12"/>
      <c r="C439" s="10"/>
      <c r="D439" s="12"/>
      <c r="E439" s="10"/>
      <c r="F439" s="10"/>
      <c r="G439" s="10"/>
      <c r="H439" s="10"/>
      <c r="I439" s="10"/>
      <c r="J439" s="10"/>
      <c r="K439" s="10"/>
      <c r="L439" s="10"/>
    </row>
    <row r="440">
      <c r="A440" s="22"/>
      <c r="B440" s="12"/>
      <c r="C440" s="10"/>
      <c r="D440" s="12"/>
      <c r="E440" s="10"/>
      <c r="F440" s="10"/>
      <c r="G440" s="10"/>
      <c r="H440" s="10"/>
      <c r="I440" s="10"/>
      <c r="J440" s="10"/>
      <c r="K440" s="10"/>
      <c r="L440" s="10"/>
    </row>
    <row r="441">
      <c r="A441" s="22"/>
      <c r="B441" s="12"/>
      <c r="C441" s="10"/>
      <c r="D441" s="12"/>
      <c r="E441" s="10"/>
      <c r="F441" s="10"/>
      <c r="G441" s="10"/>
      <c r="H441" s="10"/>
      <c r="I441" s="10"/>
      <c r="J441" s="10"/>
      <c r="K441" s="10"/>
      <c r="L441" s="10"/>
    </row>
    <row r="442">
      <c r="A442" s="22"/>
      <c r="B442" s="12"/>
      <c r="C442" s="10"/>
      <c r="D442" s="12"/>
      <c r="E442" s="10"/>
      <c r="F442" s="10"/>
      <c r="G442" s="10"/>
      <c r="H442" s="10"/>
      <c r="I442" s="10"/>
      <c r="J442" s="10"/>
      <c r="K442" s="10"/>
      <c r="L442" s="10"/>
    </row>
    <row r="443">
      <c r="A443" s="22"/>
      <c r="B443" s="12"/>
      <c r="C443" s="10"/>
      <c r="D443" s="12"/>
      <c r="E443" s="10"/>
      <c r="F443" s="10"/>
      <c r="G443" s="10"/>
      <c r="H443" s="10"/>
      <c r="I443" s="10"/>
      <c r="J443" s="10"/>
      <c r="K443" s="10"/>
      <c r="L443" s="10"/>
    </row>
    <row r="444">
      <c r="A444" s="22"/>
      <c r="B444" s="12"/>
      <c r="C444" s="10"/>
      <c r="D444" s="12"/>
      <c r="E444" s="10"/>
      <c r="F444" s="10"/>
      <c r="G444" s="10"/>
      <c r="H444" s="10"/>
      <c r="I444" s="10"/>
      <c r="J444" s="10"/>
      <c r="K444" s="10"/>
      <c r="L444" s="10"/>
    </row>
    <row r="445">
      <c r="A445" s="22"/>
      <c r="B445" s="12"/>
      <c r="C445" s="10"/>
      <c r="D445" s="12"/>
      <c r="E445" s="10"/>
      <c r="F445" s="10"/>
      <c r="G445" s="10"/>
      <c r="H445" s="10"/>
      <c r="I445" s="10"/>
      <c r="J445" s="10"/>
      <c r="K445" s="10"/>
      <c r="L445" s="10"/>
    </row>
    <row r="446">
      <c r="A446" s="22"/>
      <c r="B446" s="12"/>
      <c r="C446" s="10"/>
      <c r="D446" s="12"/>
      <c r="E446" s="10"/>
      <c r="F446" s="10"/>
      <c r="G446" s="10"/>
      <c r="H446" s="10"/>
      <c r="I446" s="10"/>
      <c r="J446" s="10"/>
      <c r="K446" s="10"/>
      <c r="L446" s="10"/>
    </row>
    <row r="447">
      <c r="A447" s="22"/>
      <c r="B447" s="12"/>
      <c r="C447" s="10"/>
      <c r="D447" s="12"/>
      <c r="E447" s="10"/>
      <c r="F447" s="10"/>
      <c r="G447" s="10"/>
      <c r="H447" s="10"/>
      <c r="I447" s="10"/>
      <c r="J447" s="10"/>
      <c r="K447" s="10"/>
      <c r="L447" s="10"/>
    </row>
    <row r="448">
      <c r="A448" s="22"/>
      <c r="B448" s="12"/>
      <c r="C448" s="10"/>
      <c r="D448" s="12"/>
      <c r="E448" s="10"/>
      <c r="F448" s="10"/>
      <c r="G448" s="10"/>
      <c r="H448" s="10"/>
      <c r="I448" s="10"/>
      <c r="J448" s="10"/>
      <c r="K448" s="10"/>
      <c r="L448" s="10"/>
    </row>
    <row r="449">
      <c r="A449" s="22"/>
      <c r="B449" s="12"/>
      <c r="C449" s="10"/>
      <c r="D449" s="12"/>
      <c r="E449" s="10"/>
      <c r="F449" s="10"/>
      <c r="G449" s="10"/>
      <c r="H449" s="10"/>
      <c r="I449" s="10"/>
      <c r="J449" s="10"/>
      <c r="K449" s="10"/>
      <c r="L449" s="10"/>
    </row>
    <row r="450">
      <c r="A450" s="22"/>
      <c r="B450" s="12"/>
      <c r="C450" s="10"/>
      <c r="D450" s="12"/>
      <c r="E450" s="10"/>
      <c r="F450" s="10"/>
      <c r="G450" s="10"/>
      <c r="H450" s="10"/>
      <c r="I450" s="10"/>
      <c r="J450" s="10"/>
      <c r="K450" s="10"/>
      <c r="L450" s="10"/>
    </row>
    <row r="451">
      <c r="A451" s="22"/>
      <c r="B451" s="12"/>
      <c r="C451" s="10"/>
      <c r="D451" s="12"/>
      <c r="E451" s="10"/>
      <c r="F451" s="10"/>
      <c r="G451" s="10"/>
      <c r="H451" s="10"/>
      <c r="I451" s="10"/>
      <c r="J451" s="10"/>
      <c r="K451" s="10"/>
      <c r="L451" s="10"/>
    </row>
    <row r="452">
      <c r="A452" s="22"/>
      <c r="B452" s="12"/>
      <c r="C452" s="10"/>
      <c r="D452" s="12"/>
      <c r="E452" s="10"/>
      <c r="F452" s="10"/>
      <c r="G452" s="10"/>
      <c r="H452" s="10"/>
      <c r="I452" s="10"/>
      <c r="J452" s="10"/>
      <c r="K452" s="10"/>
      <c r="L452" s="10"/>
    </row>
    <row r="453">
      <c r="A453" s="22"/>
      <c r="B453" s="12"/>
      <c r="C453" s="10"/>
      <c r="D453" s="12"/>
      <c r="E453" s="10"/>
      <c r="F453" s="10"/>
      <c r="G453" s="10"/>
      <c r="H453" s="10"/>
      <c r="I453" s="10"/>
      <c r="J453" s="10"/>
      <c r="K453" s="10"/>
      <c r="L453" s="10"/>
    </row>
    <row r="454">
      <c r="A454" s="22"/>
      <c r="B454" s="12"/>
      <c r="C454" s="10"/>
      <c r="D454" s="12"/>
      <c r="E454" s="10"/>
      <c r="F454" s="10"/>
      <c r="G454" s="10"/>
      <c r="H454" s="10"/>
      <c r="I454" s="10"/>
      <c r="J454" s="10"/>
      <c r="K454" s="10"/>
      <c r="L454" s="10"/>
    </row>
    <row r="455">
      <c r="A455" s="22"/>
      <c r="B455" s="12"/>
      <c r="C455" s="10"/>
      <c r="D455" s="12"/>
      <c r="E455" s="10"/>
      <c r="F455" s="10"/>
      <c r="G455" s="10"/>
      <c r="H455" s="10"/>
      <c r="I455" s="10"/>
      <c r="J455" s="10"/>
      <c r="K455" s="10"/>
      <c r="L455" s="10"/>
    </row>
    <row r="456">
      <c r="A456" s="22"/>
      <c r="B456" s="12"/>
      <c r="C456" s="10"/>
      <c r="D456" s="12"/>
      <c r="E456" s="10"/>
      <c r="F456" s="10"/>
      <c r="G456" s="10"/>
      <c r="H456" s="10"/>
      <c r="I456" s="10"/>
      <c r="J456" s="10"/>
      <c r="K456" s="10"/>
      <c r="L456" s="10"/>
    </row>
    <row r="457">
      <c r="A457" s="22"/>
      <c r="B457" s="12"/>
      <c r="C457" s="10"/>
      <c r="D457" s="12"/>
      <c r="E457" s="10"/>
      <c r="F457" s="10"/>
      <c r="G457" s="10"/>
      <c r="H457" s="10"/>
      <c r="I457" s="10"/>
      <c r="J457" s="10"/>
      <c r="K457" s="10"/>
      <c r="L457" s="10"/>
    </row>
    <row r="458">
      <c r="A458" s="22"/>
      <c r="B458" s="12"/>
      <c r="C458" s="10"/>
      <c r="D458" s="12"/>
      <c r="E458" s="10"/>
      <c r="F458" s="10"/>
      <c r="G458" s="10"/>
      <c r="H458" s="10"/>
      <c r="I458" s="10"/>
      <c r="J458" s="10"/>
      <c r="K458" s="10"/>
      <c r="L458" s="10"/>
    </row>
    <row r="459">
      <c r="A459" s="22"/>
      <c r="B459" s="12"/>
      <c r="C459" s="10"/>
      <c r="D459" s="12"/>
      <c r="E459" s="10"/>
      <c r="F459" s="10"/>
      <c r="G459" s="10"/>
      <c r="H459" s="10"/>
      <c r="I459" s="10"/>
      <c r="J459" s="10"/>
      <c r="K459" s="10"/>
      <c r="L459" s="10"/>
    </row>
    <row r="460">
      <c r="A460" s="22"/>
      <c r="B460" s="12"/>
      <c r="C460" s="10"/>
      <c r="D460" s="12"/>
      <c r="E460" s="10"/>
      <c r="F460" s="10"/>
      <c r="G460" s="10"/>
      <c r="H460" s="10"/>
      <c r="I460" s="10"/>
      <c r="J460" s="10"/>
      <c r="K460" s="10"/>
      <c r="L460" s="10"/>
    </row>
    <row r="461">
      <c r="A461" s="22"/>
      <c r="B461" s="12"/>
      <c r="C461" s="10"/>
      <c r="D461" s="12"/>
      <c r="E461" s="10"/>
      <c r="F461" s="10"/>
      <c r="G461" s="10"/>
      <c r="H461" s="10"/>
      <c r="I461" s="10"/>
      <c r="J461" s="10"/>
      <c r="K461" s="10"/>
      <c r="L461" s="10"/>
    </row>
    <row r="462">
      <c r="A462" s="22"/>
      <c r="B462" s="12"/>
      <c r="C462" s="10"/>
      <c r="D462" s="12"/>
      <c r="E462" s="10"/>
      <c r="F462" s="10"/>
      <c r="G462" s="10"/>
      <c r="H462" s="10"/>
      <c r="I462" s="10"/>
      <c r="J462" s="10"/>
      <c r="K462" s="10"/>
      <c r="L462" s="10"/>
    </row>
    <row r="463">
      <c r="A463" s="22"/>
      <c r="B463" s="12"/>
      <c r="C463" s="10"/>
      <c r="D463" s="12"/>
      <c r="E463" s="10"/>
      <c r="F463" s="10"/>
      <c r="G463" s="10"/>
      <c r="H463" s="10"/>
      <c r="I463" s="10"/>
      <c r="J463" s="10"/>
      <c r="K463" s="10"/>
      <c r="L463" s="10"/>
    </row>
    <row r="464">
      <c r="A464" s="22"/>
      <c r="B464" s="12"/>
      <c r="C464" s="10"/>
      <c r="D464" s="12"/>
      <c r="E464" s="10"/>
      <c r="F464" s="10"/>
      <c r="G464" s="10"/>
      <c r="H464" s="10"/>
      <c r="I464" s="10"/>
      <c r="J464" s="10"/>
      <c r="K464" s="10"/>
      <c r="L464" s="10"/>
    </row>
    <row r="465">
      <c r="A465" s="22"/>
      <c r="B465" s="12"/>
      <c r="C465" s="10"/>
      <c r="D465" s="12"/>
      <c r="E465" s="10"/>
      <c r="F465" s="10"/>
      <c r="G465" s="10"/>
      <c r="H465" s="10"/>
      <c r="I465" s="10"/>
      <c r="J465" s="10"/>
      <c r="K465" s="10"/>
      <c r="L465" s="10"/>
    </row>
    <row r="466">
      <c r="A466" s="22"/>
      <c r="B466" s="12"/>
      <c r="C466" s="10"/>
      <c r="D466" s="12"/>
      <c r="E466" s="10"/>
      <c r="F466" s="10"/>
      <c r="G466" s="10"/>
      <c r="H466" s="10"/>
      <c r="I466" s="10"/>
      <c r="J466" s="10"/>
      <c r="K466" s="10"/>
      <c r="L466" s="10"/>
    </row>
    <row r="467">
      <c r="A467" s="22"/>
      <c r="B467" s="12"/>
      <c r="C467" s="10"/>
      <c r="D467" s="12"/>
      <c r="E467" s="10"/>
      <c r="F467" s="10"/>
      <c r="G467" s="10"/>
      <c r="H467" s="10"/>
      <c r="I467" s="10"/>
      <c r="J467" s="10"/>
      <c r="K467" s="10"/>
      <c r="L467" s="10"/>
    </row>
    <row r="468">
      <c r="A468" s="22"/>
      <c r="B468" s="12"/>
      <c r="C468" s="10"/>
      <c r="D468" s="12"/>
      <c r="E468" s="10"/>
      <c r="F468" s="10"/>
      <c r="G468" s="10"/>
      <c r="H468" s="10"/>
      <c r="I468" s="10"/>
      <c r="J468" s="10"/>
      <c r="K468" s="10"/>
      <c r="L468" s="10"/>
    </row>
    <row r="469">
      <c r="A469" s="22"/>
      <c r="B469" s="12"/>
      <c r="C469" s="10"/>
      <c r="D469" s="12"/>
      <c r="E469" s="10"/>
      <c r="F469" s="10"/>
      <c r="G469" s="10"/>
      <c r="H469" s="10"/>
      <c r="I469" s="10"/>
      <c r="J469" s="10"/>
      <c r="K469" s="10"/>
      <c r="L469" s="10"/>
    </row>
    <row r="470">
      <c r="A470" s="22"/>
      <c r="B470" s="12"/>
      <c r="C470" s="10"/>
      <c r="D470" s="12"/>
      <c r="E470" s="10"/>
      <c r="F470" s="10"/>
      <c r="G470" s="10"/>
      <c r="H470" s="10"/>
      <c r="I470" s="10"/>
      <c r="J470" s="10"/>
      <c r="K470" s="10"/>
      <c r="L470" s="10"/>
    </row>
    <row r="471">
      <c r="A471" s="22"/>
      <c r="B471" s="12"/>
      <c r="C471" s="10"/>
      <c r="D471" s="12"/>
      <c r="E471" s="10"/>
      <c r="F471" s="10"/>
      <c r="G471" s="10"/>
      <c r="H471" s="10"/>
      <c r="I471" s="10"/>
      <c r="J471" s="10"/>
      <c r="K471" s="10"/>
      <c r="L471" s="10"/>
    </row>
    <row r="472">
      <c r="A472" s="22"/>
      <c r="B472" s="12"/>
      <c r="C472" s="10"/>
      <c r="D472" s="12"/>
      <c r="E472" s="10"/>
      <c r="F472" s="10"/>
      <c r="G472" s="10"/>
      <c r="H472" s="10"/>
      <c r="I472" s="10"/>
      <c r="J472" s="10"/>
      <c r="K472" s="10"/>
      <c r="L472" s="10"/>
    </row>
    <row r="473">
      <c r="A473" s="22"/>
      <c r="B473" s="12"/>
      <c r="C473" s="10"/>
      <c r="D473" s="12"/>
      <c r="E473" s="10"/>
      <c r="F473" s="10"/>
      <c r="G473" s="10"/>
      <c r="H473" s="10"/>
      <c r="I473" s="10"/>
      <c r="J473" s="10"/>
      <c r="K473" s="10"/>
      <c r="L473" s="10"/>
    </row>
    <row r="474">
      <c r="A474" s="22"/>
      <c r="B474" s="12"/>
      <c r="C474" s="10"/>
      <c r="D474" s="12"/>
      <c r="E474" s="10"/>
      <c r="F474" s="10"/>
      <c r="G474" s="10"/>
      <c r="H474" s="10"/>
      <c r="I474" s="10"/>
      <c r="J474" s="10"/>
      <c r="K474" s="10"/>
      <c r="L474" s="10"/>
    </row>
    <row r="475">
      <c r="A475" s="22"/>
      <c r="B475" s="12"/>
      <c r="C475" s="10"/>
      <c r="D475" s="12"/>
      <c r="E475" s="10"/>
      <c r="F475" s="10"/>
      <c r="G475" s="10"/>
      <c r="H475" s="10"/>
      <c r="I475" s="10"/>
      <c r="J475" s="10"/>
      <c r="K475" s="10"/>
      <c r="L475" s="10"/>
    </row>
    <row r="476">
      <c r="A476" s="22"/>
      <c r="B476" s="12"/>
      <c r="C476" s="10"/>
      <c r="D476" s="12"/>
      <c r="E476" s="10"/>
      <c r="F476" s="10"/>
      <c r="G476" s="10"/>
      <c r="H476" s="10"/>
      <c r="I476" s="10"/>
      <c r="J476" s="10"/>
      <c r="K476" s="10"/>
      <c r="L476" s="10"/>
    </row>
    <row r="477">
      <c r="A477" s="22"/>
      <c r="B477" s="12"/>
      <c r="C477" s="10"/>
      <c r="D477" s="12"/>
      <c r="E477" s="10"/>
      <c r="F477" s="10"/>
      <c r="G477" s="10"/>
      <c r="H477" s="10"/>
      <c r="I477" s="10"/>
      <c r="J477" s="10"/>
      <c r="K477" s="10"/>
      <c r="L477" s="10"/>
    </row>
    <row r="478">
      <c r="A478" s="22"/>
      <c r="B478" s="12"/>
      <c r="C478" s="10"/>
      <c r="D478" s="12"/>
      <c r="E478" s="10"/>
      <c r="F478" s="10"/>
      <c r="G478" s="10"/>
      <c r="H478" s="10"/>
      <c r="I478" s="10"/>
      <c r="J478" s="10"/>
      <c r="K478" s="10"/>
      <c r="L478" s="10"/>
    </row>
    <row r="479">
      <c r="A479" s="22"/>
      <c r="B479" s="12"/>
      <c r="C479" s="10"/>
      <c r="D479" s="12"/>
      <c r="E479" s="10"/>
      <c r="F479" s="10"/>
      <c r="G479" s="10"/>
      <c r="H479" s="10"/>
      <c r="I479" s="10"/>
      <c r="J479" s="10"/>
      <c r="K479" s="10"/>
      <c r="L479" s="10"/>
    </row>
    <row r="480">
      <c r="A480" s="22"/>
      <c r="B480" s="12"/>
      <c r="C480" s="10"/>
      <c r="D480" s="12"/>
      <c r="E480" s="10"/>
      <c r="F480" s="10"/>
      <c r="G480" s="10"/>
      <c r="H480" s="10"/>
      <c r="I480" s="10"/>
      <c r="J480" s="10"/>
      <c r="K480" s="10"/>
      <c r="L480" s="10"/>
    </row>
    <row r="481">
      <c r="A481" s="22"/>
      <c r="B481" s="12"/>
      <c r="C481" s="10"/>
      <c r="D481" s="12"/>
      <c r="E481" s="10"/>
      <c r="F481" s="10"/>
      <c r="G481" s="10"/>
      <c r="H481" s="10"/>
      <c r="I481" s="10"/>
      <c r="J481" s="10"/>
      <c r="K481" s="10"/>
      <c r="L481" s="10"/>
    </row>
    <row r="482">
      <c r="A482" s="22"/>
      <c r="B482" s="12"/>
      <c r="C482" s="10"/>
      <c r="D482" s="12"/>
      <c r="E482" s="10"/>
      <c r="F482" s="10"/>
      <c r="G482" s="10"/>
      <c r="H482" s="10"/>
      <c r="I482" s="10"/>
      <c r="J482" s="10"/>
      <c r="K482" s="10"/>
      <c r="L482" s="10"/>
    </row>
    <row r="483">
      <c r="A483" s="22"/>
      <c r="B483" s="12"/>
      <c r="C483" s="10"/>
      <c r="D483" s="12"/>
      <c r="E483" s="10"/>
      <c r="F483" s="10"/>
      <c r="G483" s="10"/>
      <c r="H483" s="10"/>
      <c r="I483" s="10"/>
      <c r="J483" s="10"/>
      <c r="K483" s="10"/>
      <c r="L483" s="10"/>
    </row>
    <row r="484">
      <c r="A484" s="22"/>
      <c r="B484" s="12"/>
      <c r="C484" s="10"/>
      <c r="D484" s="12"/>
      <c r="E484" s="10"/>
      <c r="F484" s="10"/>
      <c r="G484" s="10"/>
      <c r="H484" s="10"/>
      <c r="I484" s="10"/>
      <c r="J484" s="10"/>
      <c r="K484" s="10"/>
      <c r="L484" s="10"/>
    </row>
    <row r="485">
      <c r="A485" s="22"/>
      <c r="B485" s="12"/>
      <c r="C485" s="10"/>
      <c r="D485" s="12"/>
      <c r="E485" s="10"/>
      <c r="F485" s="10"/>
      <c r="G485" s="10"/>
      <c r="H485" s="10"/>
      <c r="I485" s="10"/>
      <c r="J485" s="10"/>
      <c r="K485" s="10"/>
      <c r="L485" s="10"/>
    </row>
    <row r="486">
      <c r="A486" s="22"/>
      <c r="B486" s="12"/>
      <c r="C486" s="10"/>
      <c r="D486" s="12"/>
      <c r="E486" s="10"/>
      <c r="F486" s="10"/>
      <c r="G486" s="10"/>
      <c r="H486" s="10"/>
      <c r="I486" s="10"/>
      <c r="J486" s="10"/>
      <c r="K486" s="10"/>
      <c r="L486" s="10"/>
    </row>
    <row r="487">
      <c r="A487" s="22"/>
      <c r="B487" s="12"/>
      <c r="C487" s="10"/>
      <c r="D487" s="12"/>
      <c r="E487" s="10"/>
      <c r="F487" s="10"/>
      <c r="G487" s="10"/>
      <c r="H487" s="10"/>
      <c r="I487" s="10"/>
      <c r="J487" s="10"/>
      <c r="K487" s="10"/>
      <c r="L487" s="10"/>
    </row>
    <row r="488">
      <c r="A488" s="22"/>
      <c r="B488" s="12"/>
      <c r="C488" s="10"/>
      <c r="D488" s="12"/>
      <c r="E488" s="10"/>
      <c r="F488" s="10"/>
      <c r="G488" s="10"/>
      <c r="H488" s="10"/>
      <c r="I488" s="10"/>
      <c r="J488" s="10"/>
      <c r="K488" s="10"/>
      <c r="L488" s="10"/>
    </row>
    <row r="489">
      <c r="A489" s="22"/>
      <c r="B489" s="12"/>
      <c r="C489" s="10"/>
      <c r="D489" s="12"/>
      <c r="E489" s="10"/>
      <c r="F489" s="10"/>
      <c r="G489" s="10"/>
      <c r="H489" s="10"/>
      <c r="I489" s="10"/>
      <c r="J489" s="10"/>
      <c r="K489" s="10"/>
      <c r="L489" s="10"/>
    </row>
    <row r="490">
      <c r="A490" s="22"/>
      <c r="B490" s="12"/>
      <c r="C490" s="10"/>
      <c r="D490" s="12"/>
      <c r="E490" s="10"/>
      <c r="F490" s="10"/>
      <c r="G490" s="10"/>
      <c r="H490" s="10"/>
      <c r="I490" s="10"/>
      <c r="J490" s="10"/>
      <c r="K490" s="10"/>
      <c r="L490" s="10"/>
    </row>
    <row r="491">
      <c r="A491" s="22"/>
      <c r="B491" s="12"/>
      <c r="C491" s="10"/>
      <c r="D491" s="12"/>
      <c r="E491" s="10"/>
      <c r="F491" s="10"/>
      <c r="G491" s="10"/>
      <c r="H491" s="10"/>
      <c r="I491" s="10"/>
      <c r="J491" s="10"/>
      <c r="K491" s="10"/>
      <c r="L491" s="10"/>
    </row>
    <row r="492">
      <c r="A492" s="22"/>
      <c r="B492" s="12"/>
      <c r="C492" s="10"/>
      <c r="D492" s="12"/>
      <c r="E492" s="10"/>
      <c r="F492" s="10"/>
      <c r="G492" s="10"/>
      <c r="H492" s="10"/>
      <c r="I492" s="10"/>
      <c r="J492" s="10"/>
      <c r="K492" s="10"/>
      <c r="L492" s="10"/>
    </row>
    <row r="493">
      <c r="A493" s="22"/>
      <c r="B493" s="12"/>
      <c r="C493" s="10"/>
      <c r="D493" s="12"/>
      <c r="E493" s="10"/>
      <c r="F493" s="10"/>
      <c r="G493" s="10"/>
      <c r="H493" s="10"/>
      <c r="I493" s="10"/>
      <c r="J493" s="10"/>
      <c r="K493" s="10"/>
      <c r="L493" s="10"/>
    </row>
    <row r="494">
      <c r="A494" s="22"/>
      <c r="B494" s="12"/>
      <c r="C494" s="10"/>
      <c r="D494" s="12"/>
      <c r="E494" s="10"/>
      <c r="F494" s="10"/>
      <c r="G494" s="10"/>
      <c r="H494" s="10"/>
      <c r="I494" s="10"/>
      <c r="J494" s="10"/>
      <c r="K494" s="10"/>
      <c r="L494" s="10"/>
    </row>
    <row r="495">
      <c r="A495" s="22"/>
      <c r="B495" s="12"/>
      <c r="C495" s="10"/>
      <c r="D495" s="12"/>
      <c r="E495" s="10"/>
      <c r="F495" s="10"/>
      <c r="G495" s="10"/>
      <c r="H495" s="10"/>
      <c r="I495" s="10"/>
      <c r="J495" s="10"/>
      <c r="K495" s="10"/>
      <c r="L495" s="10"/>
    </row>
    <row r="496">
      <c r="A496" s="22"/>
      <c r="B496" s="12"/>
      <c r="C496" s="10"/>
      <c r="D496" s="12"/>
      <c r="E496" s="10"/>
      <c r="F496" s="10"/>
      <c r="G496" s="10"/>
      <c r="H496" s="10"/>
      <c r="I496" s="10"/>
      <c r="J496" s="10"/>
      <c r="K496" s="10"/>
      <c r="L496" s="10"/>
    </row>
    <row r="497">
      <c r="A497" s="22"/>
      <c r="B497" s="12"/>
      <c r="C497" s="10"/>
      <c r="D497" s="12"/>
      <c r="E497" s="10"/>
      <c r="F497" s="10"/>
      <c r="G497" s="10"/>
      <c r="H497" s="10"/>
      <c r="I497" s="10"/>
      <c r="J497" s="10"/>
      <c r="K497" s="10"/>
      <c r="L497" s="10"/>
    </row>
    <row r="498">
      <c r="A498" s="22"/>
      <c r="B498" s="12"/>
      <c r="C498" s="10"/>
      <c r="D498" s="12"/>
      <c r="E498" s="10"/>
      <c r="F498" s="10"/>
      <c r="G498" s="10"/>
      <c r="H498" s="10"/>
      <c r="I498" s="10"/>
      <c r="J498" s="10"/>
      <c r="K498" s="10"/>
      <c r="L498" s="10"/>
    </row>
    <row r="499">
      <c r="A499" s="22"/>
      <c r="B499" s="12"/>
      <c r="C499" s="10"/>
      <c r="D499" s="12"/>
      <c r="E499" s="10"/>
      <c r="F499" s="10"/>
      <c r="G499" s="10"/>
      <c r="H499" s="10"/>
      <c r="I499" s="10"/>
      <c r="J499" s="10"/>
      <c r="K499" s="10"/>
      <c r="L499" s="10"/>
    </row>
    <row r="500">
      <c r="A500" s="22"/>
      <c r="B500" s="12"/>
      <c r="C500" s="10"/>
      <c r="D500" s="12"/>
      <c r="E500" s="10"/>
      <c r="F500" s="10"/>
      <c r="G500" s="10"/>
      <c r="H500" s="10"/>
      <c r="I500" s="10"/>
      <c r="J500" s="10"/>
      <c r="K500" s="10"/>
      <c r="L500" s="10"/>
    </row>
    <row r="501">
      <c r="A501" s="22"/>
      <c r="B501" s="12"/>
      <c r="C501" s="10"/>
      <c r="D501" s="12"/>
      <c r="E501" s="10"/>
      <c r="F501" s="10"/>
      <c r="G501" s="10"/>
      <c r="H501" s="10"/>
      <c r="I501" s="10"/>
      <c r="J501" s="10"/>
      <c r="K501" s="10"/>
      <c r="L501" s="10"/>
    </row>
    <row r="502">
      <c r="A502" s="22"/>
      <c r="B502" s="12"/>
      <c r="C502" s="10"/>
      <c r="D502" s="12"/>
      <c r="E502" s="10"/>
      <c r="F502" s="10"/>
      <c r="G502" s="10"/>
      <c r="H502" s="10"/>
      <c r="I502" s="10"/>
      <c r="J502" s="10"/>
      <c r="K502" s="10"/>
      <c r="L502" s="10"/>
    </row>
    <row r="503">
      <c r="A503" s="22"/>
      <c r="B503" s="12"/>
      <c r="C503" s="10"/>
      <c r="D503" s="12"/>
      <c r="E503" s="10"/>
      <c r="F503" s="10"/>
      <c r="G503" s="10"/>
      <c r="H503" s="10"/>
      <c r="I503" s="10"/>
      <c r="J503" s="10"/>
      <c r="K503" s="10"/>
      <c r="L503" s="10"/>
    </row>
    <row r="504">
      <c r="A504" s="22"/>
      <c r="B504" s="12"/>
      <c r="C504" s="10"/>
      <c r="D504" s="12"/>
      <c r="E504" s="10"/>
      <c r="F504" s="10"/>
      <c r="G504" s="10"/>
      <c r="H504" s="10"/>
      <c r="I504" s="10"/>
      <c r="J504" s="10"/>
      <c r="K504" s="10"/>
      <c r="L504" s="10"/>
    </row>
    <row r="505">
      <c r="A505" s="22"/>
      <c r="B505" s="12"/>
      <c r="C505" s="10"/>
      <c r="D505" s="12"/>
      <c r="E505" s="10"/>
      <c r="F505" s="10"/>
      <c r="G505" s="10"/>
      <c r="H505" s="10"/>
      <c r="I505" s="10"/>
      <c r="J505" s="10"/>
      <c r="K505" s="10"/>
      <c r="L505" s="10"/>
    </row>
    <row r="506">
      <c r="A506" s="22"/>
      <c r="B506" s="12"/>
      <c r="C506" s="10"/>
      <c r="D506" s="12"/>
      <c r="E506" s="10"/>
      <c r="F506" s="10"/>
      <c r="G506" s="10"/>
      <c r="H506" s="10"/>
      <c r="I506" s="10"/>
      <c r="J506" s="10"/>
      <c r="K506" s="10"/>
      <c r="L506" s="10"/>
    </row>
    <row r="507">
      <c r="A507" s="22"/>
      <c r="B507" s="12"/>
      <c r="C507" s="10"/>
      <c r="D507" s="12"/>
      <c r="E507" s="10"/>
      <c r="F507" s="10"/>
      <c r="G507" s="10"/>
      <c r="H507" s="10"/>
      <c r="I507" s="10"/>
      <c r="J507" s="10"/>
      <c r="K507" s="10"/>
      <c r="L507" s="10"/>
    </row>
    <row r="508">
      <c r="A508" s="22"/>
      <c r="B508" s="12"/>
      <c r="C508" s="10"/>
      <c r="D508" s="12"/>
      <c r="E508" s="10"/>
      <c r="F508" s="10"/>
      <c r="G508" s="10"/>
      <c r="H508" s="10"/>
      <c r="I508" s="10"/>
      <c r="J508" s="10"/>
      <c r="K508" s="10"/>
      <c r="L508" s="10"/>
    </row>
    <row r="509">
      <c r="A509" s="22"/>
      <c r="B509" s="12"/>
      <c r="C509" s="10"/>
      <c r="D509" s="12"/>
      <c r="E509" s="10"/>
      <c r="F509" s="10"/>
      <c r="G509" s="10"/>
      <c r="H509" s="10"/>
      <c r="I509" s="10"/>
      <c r="J509" s="10"/>
      <c r="K509" s="10"/>
      <c r="L509" s="10"/>
    </row>
    <row r="510">
      <c r="A510" s="22"/>
      <c r="B510" s="12"/>
      <c r="C510" s="10"/>
      <c r="D510" s="12"/>
      <c r="E510" s="10"/>
      <c r="F510" s="10"/>
      <c r="G510" s="10"/>
      <c r="H510" s="10"/>
      <c r="I510" s="10"/>
      <c r="J510" s="10"/>
      <c r="K510" s="10"/>
      <c r="L510" s="10"/>
    </row>
    <row r="511">
      <c r="A511" s="22"/>
      <c r="B511" s="12"/>
      <c r="C511" s="10"/>
      <c r="D511" s="12"/>
      <c r="E511" s="10"/>
      <c r="F511" s="10"/>
      <c r="G511" s="10"/>
      <c r="H511" s="10"/>
      <c r="I511" s="10"/>
      <c r="J511" s="10"/>
      <c r="K511" s="10"/>
      <c r="L511" s="10"/>
    </row>
    <row r="512">
      <c r="A512" s="22"/>
      <c r="B512" s="12"/>
      <c r="C512" s="10"/>
      <c r="D512" s="12"/>
      <c r="E512" s="10"/>
      <c r="F512" s="10"/>
      <c r="G512" s="10"/>
      <c r="H512" s="10"/>
      <c r="I512" s="10"/>
      <c r="J512" s="10"/>
      <c r="K512" s="10"/>
      <c r="L512" s="10"/>
    </row>
    <row r="513">
      <c r="A513" s="22"/>
      <c r="B513" s="12"/>
      <c r="C513" s="10"/>
      <c r="D513" s="12"/>
      <c r="E513" s="10"/>
      <c r="F513" s="10"/>
      <c r="G513" s="10"/>
      <c r="H513" s="10"/>
      <c r="I513" s="10"/>
      <c r="J513" s="10"/>
      <c r="K513" s="10"/>
      <c r="L513" s="10"/>
    </row>
    <row r="514">
      <c r="A514" s="22"/>
      <c r="B514" s="12"/>
      <c r="C514" s="10"/>
      <c r="D514" s="12"/>
      <c r="E514" s="10"/>
      <c r="F514" s="10"/>
      <c r="G514" s="10"/>
      <c r="H514" s="10"/>
      <c r="I514" s="10"/>
      <c r="J514" s="10"/>
      <c r="K514" s="10"/>
      <c r="L514" s="10"/>
    </row>
    <row r="515">
      <c r="A515" s="22"/>
      <c r="B515" s="12"/>
      <c r="C515" s="10"/>
      <c r="D515" s="12"/>
      <c r="E515" s="10"/>
      <c r="F515" s="10"/>
      <c r="G515" s="10"/>
      <c r="H515" s="10"/>
      <c r="I515" s="10"/>
      <c r="J515" s="10"/>
      <c r="K515" s="10"/>
      <c r="L515" s="10"/>
    </row>
    <row r="516">
      <c r="A516" s="22"/>
      <c r="B516" s="12"/>
      <c r="C516" s="10"/>
      <c r="D516" s="12"/>
      <c r="E516" s="10"/>
      <c r="F516" s="10"/>
      <c r="G516" s="10"/>
      <c r="H516" s="10"/>
      <c r="I516" s="10"/>
      <c r="J516" s="10"/>
      <c r="K516" s="10"/>
      <c r="L516" s="10"/>
    </row>
    <row r="517">
      <c r="A517" s="22"/>
      <c r="B517" s="12"/>
      <c r="C517" s="10"/>
      <c r="D517" s="12"/>
      <c r="E517" s="10"/>
      <c r="F517" s="10"/>
      <c r="G517" s="10"/>
      <c r="H517" s="10"/>
      <c r="I517" s="10"/>
      <c r="J517" s="10"/>
      <c r="K517" s="10"/>
      <c r="L517" s="10"/>
    </row>
    <row r="518">
      <c r="A518" s="22"/>
      <c r="B518" s="12"/>
      <c r="C518" s="10"/>
      <c r="D518" s="12"/>
      <c r="E518" s="10"/>
      <c r="F518" s="10"/>
      <c r="G518" s="10"/>
      <c r="H518" s="10"/>
      <c r="I518" s="10"/>
      <c r="J518" s="10"/>
      <c r="K518" s="10"/>
      <c r="L518" s="10"/>
    </row>
    <row r="519">
      <c r="A519" s="22"/>
      <c r="B519" s="12"/>
      <c r="C519" s="10"/>
      <c r="D519" s="12"/>
      <c r="E519" s="10"/>
      <c r="F519" s="10"/>
      <c r="G519" s="10"/>
      <c r="H519" s="10"/>
      <c r="I519" s="10"/>
      <c r="J519" s="10"/>
      <c r="K519" s="10"/>
      <c r="L519" s="10"/>
    </row>
    <row r="520">
      <c r="A520" s="22"/>
      <c r="B520" s="12"/>
      <c r="C520" s="10"/>
      <c r="D520" s="12"/>
      <c r="E520" s="10"/>
      <c r="F520" s="10"/>
      <c r="G520" s="10"/>
      <c r="H520" s="10"/>
      <c r="I520" s="10"/>
      <c r="J520" s="10"/>
      <c r="K520" s="10"/>
      <c r="L520" s="10"/>
    </row>
    <row r="521">
      <c r="A521" s="22"/>
      <c r="B521" s="12"/>
      <c r="C521" s="10"/>
      <c r="D521" s="12"/>
      <c r="E521" s="10"/>
      <c r="F521" s="10"/>
      <c r="G521" s="10"/>
      <c r="H521" s="10"/>
      <c r="I521" s="10"/>
      <c r="J521" s="10"/>
      <c r="K521" s="10"/>
      <c r="L521" s="10"/>
    </row>
    <row r="522">
      <c r="A522" s="22"/>
      <c r="B522" s="12"/>
      <c r="C522" s="10"/>
      <c r="D522" s="12"/>
      <c r="E522" s="10"/>
      <c r="F522" s="10"/>
      <c r="G522" s="10"/>
      <c r="H522" s="10"/>
      <c r="I522" s="10"/>
      <c r="J522" s="10"/>
      <c r="K522" s="10"/>
      <c r="L522" s="10"/>
    </row>
    <row r="523">
      <c r="A523" s="22"/>
      <c r="B523" s="12"/>
      <c r="C523" s="10"/>
      <c r="D523" s="12"/>
      <c r="E523" s="10"/>
      <c r="F523" s="10"/>
      <c r="G523" s="10"/>
      <c r="H523" s="10"/>
      <c r="I523" s="10"/>
      <c r="J523" s="10"/>
      <c r="K523" s="10"/>
      <c r="L523" s="10"/>
    </row>
    <row r="524">
      <c r="A524" s="22"/>
      <c r="B524" s="12"/>
      <c r="C524" s="10"/>
      <c r="D524" s="12"/>
      <c r="E524" s="10"/>
      <c r="F524" s="10"/>
      <c r="G524" s="10"/>
      <c r="H524" s="10"/>
      <c r="I524" s="10"/>
      <c r="J524" s="10"/>
      <c r="K524" s="10"/>
      <c r="L524" s="10"/>
    </row>
    <row r="525">
      <c r="A525" s="22"/>
      <c r="B525" s="12"/>
      <c r="C525" s="10"/>
      <c r="D525" s="12"/>
      <c r="E525" s="10"/>
      <c r="F525" s="10"/>
      <c r="G525" s="10"/>
      <c r="H525" s="10"/>
      <c r="I525" s="10"/>
      <c r="J525" s="10"/>
      <c r="K525" s="10"/>
      <c r="L525" s="10"/>
    </row>
    <row r="526">
      <c r="A526" s="22"/>
      <c r="B526" s="12"/>
      <c r="C526" s="10"/>
      <c r="D526" s="12"/>
      <c r="E526" s="10"/>
      <c r="F526" s="10"/>
      <c r="G526" s="10"/>
      <c r="H526" s="10"/>
      <c r="I526" s="10"/>
      <c r="J526" s="10"/>
      <c r="K526" s="10"/>
      <c r="L526" s="10"/>
    </row>
    <row r="527">
      <c r="A527" s="22"/>
      <c r="B527" s="12"/>
      <c r="C527" s="10"/>
      <c r="D527" s="12"/>
      <c r="E527" s="10"/>
      <c r="F527" s="10"/>
      <c r="G527" s="10"/>
      <c r="H527" s="10"/>
      <c r="I527" s="10"/>
      <c r="J527" s="10"/>
      <c r="K527" s="10"/>
      <c r="L527" s="10"/>
    </row>
    <row r="528">
      <c r="A528" s="22"/>
      <c r="B528" s="12"/>
      <c r="C528" s="10"/>
      <c r="D528" s="12"/>
      <c r="E528" s="10"/>
      <c r="F528" s="10"/>
      <c r="G528" s="10"/>
      <c r="H528" s="10"/>
      <c r="I528" s="10"/>
      <c r="J528" s="10"/>
      <c r="K528" s="10"/>
      <c r="L528" s="10"/>
    </row>
    <row r="529">
      <c r="A529" s="22"/>
      <c r="B529" s="12"/>
      <c r="C529" s="10"/>
      <c r="D529" s="12"/>
      <c r="E529" s="10"/>
      <c r="F529" s="10"/>
      <c r="G529" s="10"/>
      <c r="H529" s="10"/>
      <c r="I529" s="10"/>
      <c r="J529" s="10"/>
      <c r="K529" s="10"/>
      <c r="L529" s="10"/>
    </row>
    <row r="530">
      <c r="A530" s="22"/>
      <c r="B530" s="12"/>
      <c r="C530" s="10"/>
      <c r="D530" s="12"/>
      <c r="E530" s="10"/>
      <c r="F530" s="10"/>
      <c r="G530" s="10"/>
      <c r="H530" s="10"/>
      <c r="I530" s="10"/>
      <c r="J530" s="10"/>
      <c r="K530" s="10"/>
      <c r="L530" s="10"/>
    </row>
    <row r="531">
      <c r="A531" s="22"/>
      <c r="B531" s="12"/>
      <c r="C531" s="10"/>
      <c r="D531" s="12"/>
      <c r="E531" s="10"/>
      <c r="F531" s="10"/>
      <c r="G531" s="10"/>
      <c r="H531" s="10"/>
      <c r="I531" s="10"/>
      <c r="J531" s="10"/>
      <c r="K531" s="10"/>
      <c r="L531" s="10"/>
    </row>
    <row r="532">
      <c r="A532" s="22"/>
      <c r="B532" s="12"/>
      <c r="C532" s="10"/>
      <c r="D532" s="12"/>
      <c r="E532" s="10"/>
      <c r="F532" s="10"/>
      <c r="G532" s="10"/>
      <c r="H532" s="10"/>
      <c r="I532" s="10"/>
      <c r="J532" s="10"/>
      <c r="K532" s="10"/>
      <c r="L532" s="10"/>
    </row>
    <row r="533">
      <c r="A533" s="22"/>
      <c r="B533" s="12"/>
      <c r="C533" s="10"/>
      <c r="D533" s="12"/>
      <c r="E533" s="10"/>
      <c r="F533" s="10"/>
      <c r="G533" s="10"/>
      <c r="H533" s="10"/>
      <c r="I533" s="10"/>
      <c r="J533" s="10"/>
      <c r="K533" s="10"/>
      <c r="L533" s="10"/>
    </row>
    <row r="534">
      <c r="A534" s="22"/>
      <c r="B534" s="12"/>
      <c r="C534" s="10"/>
      <c r="D534" s="12"/>
      <c r="E534" s="10"/>
      <c r="F534" s="10"/>
      <c r="G534" s="10"/>
      <c r="H534" s="10"/>
      <c r="I534" s="10"/>
      <c r="J534" s="10"/>
      <c r="K534" s="10"/>
      <c r="L534" s="10"/>
    </row>
    <row r="535">
      <c r="A535" s="22"/>
      <c r="B535" s="12"/>
      <c r="C535" s="10"/>
      <c r="D535" s="12"/>
      <c r="E535" s="10"/>
      <c r="F535" s="10"/>
      <c r="G535" s="10"/>
      <c r="H535" s="10"/>
      <c r="I535" s="10"/>
      <c r="J535" s="10"/>
      <c r="K535" s="10"/>
      <c r="L535" s="10"/>
    </row>
    <row r="536">
      <c r="A536" s="22"/>
      <c r="B536" s="12"/>
      <c r="C536" s="10"/>
      <c r="D536" s="12"/>
      <c r="E536" s="10"/>
      <c r="F536" s="10"/>
      <c r="G536" s="10"/>
      <c r="H536" s="10"/>
      <c r="I536" s="10"/>
      <c r="J536" s="10"/>
      <c r="K536" s="10"/>
      <c r="L536" s="10"/>
    </row>
    <row r="537">
      <c r="A537" s="22"/>
      <c r="B537" s="12"/>
      <c r="C537" s="10"/>
      <c r="D537" s="12"/>
      <c r="E537" s="10"/>
      <c r="F537" s="10"/>
      <c r="G537" s="10"/>
      <c r="H537" s="10"/>
      <c r="I537" s="10"/>
      <c r="J537" s="10"/>
      <c r="K537" s="10"/>
      <c r="L537" s="10"/>
    </row>
    <row r="538">
      <c r="A538" s="22"/>
      <c r="B538" s="12"/>
      <c r="C538" s="10"/>
      <c r="D538" s="12"/>
      <c r="E538" s="10"/>
      <c r="F538" s="10"/>
      <c r="G538" s="10"/>
      <c r="H538" s="10"/>
      <c r="I538" s="10"/>
      <c r="J538" s="10"/>
      <c r="K538" s="10"/>
      <c r="L538" s="10"/>
    </row>
    <row r="539">
      <c r="A539" s="22"/>
      <c r="B539" s="12"/>
      <c r="C539" s="10"/>
      <c r="D539" s="12"/>
      <c r="E539" s="10"/>
      <c r="F539" s="10"/>
      <c r="G539" s="10"/>
      <c r="H539" s="10"/>
      <c r="I539" s="10"/>
      <c r="J539" s="10"/>
      <c r="K539" s="10"/>
      <c r="L539" s="10"/>
    </row>
    <row r="540">
      <c r="A540" s="22"/>
      <c r="B540" s="12"/>
      <c r="C540" s="10"/>
      <c r="D540" s="12"/>
      <c r="E540" s="10"/>
      <c r="F540" s="10"/>
      <c r="G540" s="10"/>
      <c r="H540" s="10"/>
      <c r="I540" s="10"/>
      <c r="J540" s="10"/>
      <c r="K540" s="10"/>
      <c r="L540" s="10"/>
    </row>
    <row r="541">
      <c r="A541" s="22"/>
      <c r="B541" s="12"/>
      <c r="C541" s="10"/>
      <c r="D541" s="12"/>
      <c r="E541" s="10"/>
      <c r="F541" s="10"/>
      <c r="G541" s="10"/>
      <c r="H541" s="10"/>
      <c r="I541" s="10"/>
      <c r="J541" s="10"/>
      <c r="K541" s="10"/>
      <c r="L541" s="10"/>
    </row>
    <row r="542">
      <c r="A542" s="22"/>
      <c r="B542" s="12"/>
      <c r="C542" s="10"/>
      <c r="D542" s="12"/>
      <c r="E542" s="10"/>
      <c r="F542" s="10"/>
      <c r="G542" s="10"/>
      <c r="H542" s="10"/>
      <c r="I542" s="10"/>
      <c r="J542" s="10"/>
      <c r="K542" s="10"/>
      <c r="L542" s="10"/>
    </row>
    <row r="543">
      <c r="A543" s="22"/>
      <c r="B543" s="12"/>
      <c r="C543" s="10"/>
      <c r="D543" s="12"/>
      <c r="E543" s="10"/>
      <c r="F543" s="10"/>
      <c r="G543" s="10"/>
      <c r="H543" s="10"/>
      <c r="I543" s="10"/>
      <c r="J543" s="10"/>
      <c r="K543" s="10"/>
      <c r="L543" s="10"/>
    </row>
    <row r="544">
      <c r="A544" s="22"/>
      <c r="B544" s="12"/>
      <c r="C544" s="10"/>
      <c r="D544" s="12"/>
      <c r="E544" s="10"/>
      <c r="F544" s="10"/>
      <c r="G544" s="10"/>
      <c r="H544" s="10"/>
      <c r="I544" s="10"/>
      <c r="J544" s="10"/>
      <c r="K544" s="10"/>
      <c r="L544" s="10"/>
    </row>
    <row r="545">
      <c r="A545" s="22"/>
      <c r="B545" s="12"/>
      <c r="C545" s="10"/>
      <c r="D545" s="12"/>
      <c r="E545" s="10"/>
      <c r="F545" s="10"/>
      <c r="G545" s="10"/>
      <c r="H545" s="10"/>
      <c r="I545" s="10"/>
      <c r="J545" s="10"/>
      <c r="K545" s="10"/>
      <c r="L545" s="10"/>
    </row>
    <row r="546">
      <c r="A546" s="22"/>
      <c r="B546" s="12"/>
      <c r="C546" s="10"/>
      <c r="D546" s="12"/>
      <c r="E546" s="10"/>
      <c r="F546" s="10"/>
      <c r="G546" s="10"/>
      <c r="H546" s="10"/>
      <c r="I546" s="10"/>
      <c r="J546" s="10"/>
      <c r="K546" s="10"/>
      <c r="L546" s="10"/>
    </row>
    <row r="547">
      <c r="A547" s="22"/>
      <c r="B547" s="12"/>
      <c r="C547" s="10"/>
      <c r="D547" s="12"/>
      <c r="E547" s="10"/>
      <c r="F547" s="10"/>
      <c r="G547" s="10"/>
      <c r="H547" s="10"/>
      <c r="I547" s="10"/>
      <c r="J547" s="10"/>
      <c r="K547" s="10"/>
      <c r="L547" s="10"/>
    </row>
    <row r="548">
      <c r="A548" s="22"/>
      <c r="B548" s="12"/>
      <c r="C548" s="10"/>
      <c r="D548" s="12"/>
      <c r="E548" s="10"/>
      <c r="F548" s="10"/>
      <c r="G548" s="10"/>
      <c r="H548" s="10"/>
      <c r="I548" s="10"/>
      <c r="J548" s="10"/>
      <c r="K548" s="10"/>
      <c r="L548" s="10"/>
    </row>
    <row r="549">
      <c r="A549" s="22"/>
      <c r="B549" s="12"/>
      <c r="C549" s="10"/>
      <c r="D549" s="12"/>
      <c r="E549" s="10"/>
      <c r="F549" s="10"/>
      <c r="G549" s="10"/>
      <c r="H549" s="10"/>
      <c r="I549" s="10"/>
      <c r="J549" s="10"/>
      <c r="K549" s="10"/>
      <c r="L549" s="10"/>
    </row>
    <row r="550">
      <c r="A550" s="22"/>
      <c r="B550" s="12"/>
      <c r="C550" s="10"/>
      <c r="D550" s="12"/>
      <c r="E550" s="10"/>
      <c r="F550" s="10"/>
      <c r="G550" s="10"/>
      <c r="H550" s="10"/>
      <c r="I550" s="10"/>
      <c r="J550" s="10"/>
      <c r="K550" s="10"/>
      <c r="L550" s="10"/>
    </row>
    <row r="551">
      <c r="A551" s="22"/>
      <c r="B551" s="12"/>
      <c r="C551" s="10"/>
      <c r="D551" s="12"/>
      <c r="E551" s="10"/>
      <c r="F551" s="10"/>
      <c r="G551" s="10"/>
      <c r="H551" s="10"/>
      <c r="I551" s="10"/>
      <c r="J551" s="10"/>
      <c r="K551" s="10"/>
      <c r="L551" s="10"/>
    </row>
    <row r="552">
      <c r="A552" s="22"/>
      <c r="B552" s="12"/>
      <c r="C552" s="10"/>
      <c r="D552" s="12"/>
      <c r="E552" s="10"/>
      <c r="F552" s="10"/>
      <c r="G552" s="10"/>
      <c r="H552" s="10"/>
      <c r="I552" s="10"/>
      <c r="J552" s="10"/>
      <c r="K552" s="10"/>
      <c r="L552" s="10"/>
    </row>
    <row r="553">
      <c r="A553" s="22"/>
      <c r="B553" s="12"/>
      <c r="C553" s="10"/>
      <c r="D553" s="12"/>
      <c r="E553" s="10"/>
      <c r="F553" s="10"/>
      <c r="G553" s="10"/>
      <c r="H553" s="10"/>
      <c r="I553" s="10"/>
      <c r="J553" s="10"/>
      <c r="K553" s="10"/>
      <c r="L553" s="10"/>
    </row>
    <row r="554">
      <c r="A554" s="22"/>
      <c r="B554" s="12"/>
      <c r="C554" s="10"/>
      <c r="D554" s="12"/>
      <c r="E554" s="10"/>
      <c r="F554" s="10"/>
      <c r="G554" s="10"/>
      <c r="H554" s="10"/>
      <c r="I554" s="10"/>
      <c r="J554" s="10"/>
      <c r="K554" s="10"/>
      <c r="L554" s="10"/>
    </row>
    <row r="555">
      <c r="A555" s="22"/>
      <c r="B555" s="12"/>
      <c r="C555" s="10"/>
      <c r="D555" s="12"/>
      <c r="E555" s="10"/>
      <c r="F555" s="10"/>
      <c r="G555" s="10"/>
      <c r="H555" s="10"/>
      <c r="I555" s="10"/>
      <c r="J555" s="10"/>
      <c r="K555" s="10"/>
      <c r="L555" s="10"/>
    </row>
    <row r="556">
      <c r="A556" s="22"/>
      <c r="B556" s="12"/>
      <c r="C556" s="10"/>
      <c r="D556" s="12"/>
      <c r="E556" s="10"/>
      <c r="F556" s="10"/>
      <c r="G556" s="10"/>
      <c r="H556" s="10"/>
      <c r="I556" s="10"/>
      <c r="J556" s="10"/>
      <c r="K556" s="10"/>
      <c r="L556" s="10"/>
    </row>
    <row r="557">
      <c r="A557" s="22"/>
      <c r="B557" s="12"/>
      <c r="C557" s="10"/>
      <c r="D557" s="12"/>
      <c r="E557" s="10"/>
      <c r="F557" s="10"/>
      <c r="G557" s="10"/>
      <c r="H557" s="10"/>
      <c r="I557" s="10"/>
      <c r="J557" s="10"/>
      <c r="K557" s="10"/>
      <c r="L557" s="10"/>
    </row>
    <row r="558">
      <c r="A558" s="22"/>
      <c r="B558" s="12"/>
      <c r="C558" s="10"/>
      <c r="D558" s="12"/>
      <c r="E558" s="10"/>
      <c r="F558" s="10"/>
      <c r="G558" s="10"/>
      <c r="H558" s="10"/>
      <c r="I558" s="10"/>
      <c r="J558" s="10"/>
      <c r="K558" s="10"/>
      <c r="L558" s="10"/>
    </row>
    <row r="559">
      <c r="A559" s="22"/>
      <c r="B559" s="12"/>
      <c r="C559" s="10"/>
      <c r="D559" s="12"/>
      <c r="E559" s="10"/>
      <c r="F559" s="10"/>
      <c r="G559" s="10"/>
      <c r="H559" s="10"/>
      <c r="I559" s="10"/>
      <c r="J559" s="10"/>
      <c r="K559" s="10"/>
      <c r="L559" s="10"/>
    </row>
    <row r="560">
      <c r="A560" s="22"/>
      <c r="B560" s="12"/>
      <c r="C560" s="10"/>
      <c r="D560" s="12"/>
      <c r="E560" s="10"/>
      <c r="F560" s="10"/>
      <c r="G560" s="10"/>
      <c r="H560" s="10"/>
      <c r="I560" s="10"/>
      <c r="J560" s="10"/>
      <c r="K560" s="10"/>
      <c r="L560" s="10"/>
    </row>
    <row r="561">
      <c r="A561" s="22"/>
      <c r="B561" s="12"/>
      <c r="C561" s="10"/>
      <c r="D561" s="12"/>
      <c r="E561" s="10"/>
      <c r="F561" s="10"/>
      <c r="G561" s="10"/>
      <c r="H561" s="10"/>
      <c r="I561" s="10"/>
      <c r="J561" s="10"/>
      <c r="K561" s="10"/>
      <c r="L561" s="10"/>
    </row>
    <row r="562">
      <c r="A562" s="22"/>
      <c r="B562" s="12"/>
      <c r="C562" s="10"/>
      <c r="D562" s="12"/>
      <c r="E562" s="10"/>
      <c r="F562" s="10"/>
      <c r="G562" s="10"/>
      <c r="H562" s="10"/>
      <c r="I562" s="10"/>
      <c r="J562" s="10"/>
      <c r="K562" s="10"/>
      <c r="L562" s="10"/>
    </row>
    <row r="563">
      <c r="A563" s="22"/>
      <c r="B563" s="12"/>
      <c r="C563" s="10"/>
      <c r="D563" s="12"/>
      <c r="E563" s="10"/>
      <c r="F563" s="10"/>
      <c r="G563" s="10"/>
      <c r="H563" s="10"/>
      <c r="I563" s="10"/>
      <c r="J563" s="10"/>
      <c r="K563" s="10"/>
      <c r="L563" s="10"/>
    </row>
    <row r="564">
      <c r="A564" s="22"/>
      <c r="B564" s="12"/>
      <c r="C564" s="10"/>
      <c r="D564" s="12"/>
      <c r="E564" s="10"/>
      <c r="F564" s="10"/>
      <c r="G564" s="10"/>
      <c r="H564" s="10"/>
      <c r="I564" s="10"/>
      <c r="J564" s="10"/>
      <c r="K564" s="10"/>
      <c r="L564" s="10"/>
    </row>
    <row r="565">
      <c r="A565" s="22"/>
      <c r="B565" s="12"/>
      <c r="C565" s="10"/>
      <c r="D565" s="12"/>
      <c r="E565" s="10"/>
      <c r="F565" s="10"/>
      <c r="G565" s="10"/>
      <c r="H565" s="10"/>
      <c r="I565" s="10"/>
      <c r="J565" s="10"/>
      <c r="K565" s="10"/>
      <c r="L565" s="10"/>
    </row>
    <row r="566">
      <c r="A566" s="22"/>
      <c r="B566" s="12"/>
      <c r="C566" s="10"/>
      <c r="D566" s="12"/>
      <c r="E566" s="10"/>
      <c r="F566" s="10"/>
      <c r="G566" s="10"/>
      <c r="H566" s="10"/>
      <c r="I566" s="10"/>
      <c r="J566" s="10"/>
      <c r="K566" s="10"/>
      <c r="L566" s="10"/>
    </row>
    <row r="567">
      <c r="A567" s="22"/>
      <c r="B567" s="12"/>
      <c r="C567" s="10"/>
      <c r="D567" s="12"/>
      <c r="E567" s="10"/>
      <c r="F567" s="10"/>
      <c r="G567" s="10"/>
      <c r="H567" s="10"/>
      <c r="I567" s="10"/>
      <c r="J567" s="10"/>
      <c r="K567" s="10"/>
      <c r="L567" s="10"/>
    </row>
    <row r="568">
      <c r="A568" s="22"/>
      <c r="B568" s="12"/>
      <c r="C568" s="10"/>
      <c r="D568" s="12"/>
      <c r="E568" s="10"/>
      <c r="F568" s="10"/>
      <c r="G568" s="10"/>
      <c r="H568" s="10"/>
      <c r="I568" s="10"/>
      <c r="J568" s="10"/>
      <c r="K568" s="10"/>
      <c r="L568" s="10"/>
    </row>
    <row r="569">
      <c r="A569" s="22"/>
      <c r="B569" s="12"/>
      <c r="C569" s="10"/>
      <c r="D569" s="12"/>
      <c r="E569" s="10"/>
      <c r="F569" s="10"/>
      <c r="G569" s="10"/>
      <c r="H569" s="10"/>
      <c r="I569" s="10"/>
      <c r="J569" s="10"/>
      <c r="K569" s="10"/>
      <c r="L569" s="10"/>
    </row>
    <row r="570">
      <c r="A570" s="22"/>
      <c r="B570" s="12"/>
      <c r="C570" s="10"/>
      <c r="D570" s="12"/>
      <c r="E570" s="10"/>
      <c r="F570" s="10"/>
      <c r="G570" s="10"/>
      <c r="H570" s="10"/>
      <c r="I570" s="10"/>
      <c r="J570" s="10"/>
      <c r="K570" s="10"/>
      <c r="L570" s="10"/>
    </row>
    <row r="571">
      <c r="A571" s="22"/>
      <c r="B571" s="12"/>
      <c r="C571" s="10"/>
      <c r="D571" s="12"/>
      <c r="E571" s="10"/>
      <c r="F571" s="10"/>
      <c r="G571" s="10"/>
      <c r="H571" s="10"/>
      <c r="I571" s="10"/>
      <c r="J571" s="10"/>
      <c r="K571" s="10"/>
      <c r="L571" s="10"/>
    </row>
    <row r="572">
      <c r="A572" s="22"/>
      <c r="B572" s="12"/>
      <c r="C572" s="10"/>
      <c r="D572" s="12"/>
      <c r="E572" s="10"/>
      <c r="F572" s="10"/>
      <c r="G572" s="10"/>
      <c r="H572" s="10"/>
      <c r="I572" s="10"/>
      <c r="J572" s="10"/>
      <c r="K572" s="10"/>
      <c r="L572" s="10"/>
    </row>
    <row r="573">
      <c r="A573" s="22"/>
      <c r="B573" s="12"/>
      <c r="C573" s="10"/>
      <c r="D573" s="12"/>
      <c r="E573" s="10"/>
      <c r="F573" s="10"/>
      <c r="G573" s="10"/>
      <c r="H573" s="10"/>
      <c r="I573" s="10"/>
      <c r="J573" s="10"/>
      <c r="K573" s="10"/>
      <c r="L573" s="10"/>
    </row>
    <row r="574">
      <c r="A574" s="22"/>
      <c r="B574" s="12"/>
      <c r="C574" s="10"/>
      <c r="D574" s="12"/>
      <c r="E574" s="10"/>
      <c r="F574" s="10"/>
      <c r="G574" s="10"/>
      <c r="H574" s="10"/>
      <c r="I574" s="10"/>
      <c r="J574" s="10"/>
      <c r="K574" s="10"/>
      <c r="L574" s="10"/>
    </row>
    <row r="575">
      <c r="A575" s="22"/>
      <c r="B575" s="12"/>
      <c r="C575" s="10"/>
      <c r="D575" s="12"/>
      <c r="E575" s="10"/>
      <c r="F575" s="10"/>
      <c r="G575" s="10"/>
      <c r="H575" s="10"/>
      <c r="I575" s="10"/>
      <c r="J575" s="10"/>
      <c r="K575" s="10"/>
      <c r="L575" s="10"/>
    </row>
    <row r="576">
      <c r="A576" s="22"/>
      <c r="B576" s="12"/>
      <c r="C576" s="10"/>
      <c r="D576" s="12"/>
      <c r="E576" s="10"/>
      <c r="F576" s="10"/>
      <c r="G576" s="10"/>
      <c r="H576" s="10"/>
      <c r="I576" s="10"/>
      <c r="J576" s="10"/>
      <c r="K576" s="10"/>
      <c r="L576" s="10"/>
    </row>
    <row r="577">
      <c r="A577" s="22"/>
      <c r="B577" s="12"/>
      <c r="C577" s="10"/>
      <c r="D577" s="12"/>
      <c r="E577" s="10"/>
      <c r="F577" s="10"/>
      <c r="G577" s="10"/>
      <c r="H577" s="10"/>
      <c r="I577" s="10"/>
      <c r="J577" s="10"/>
      <c r="K577" s="10"/>
      <c r="L577" s="10"/>
    </row>
    <row r="578">
      <c r="A578" s="22"/>
      <c r="B578" s="12"/>
      <c r="C578" s="10"/>
      <c r="D578" s="12"/>
      <c r="E578" s="10"/>
      <c r="F578" s="10"/>
      <c r="G578" s="10"/>
      <c r="H578" s="10"/>
      <c r="I578" s="10"/>
      <c r="J578" s="10"/>
      <c r="K578" s="10"/>
      <c r="L578" s="10"/>
    </row>
    <row r="579">
      <c r="A579" s="22"/>
      <c r="B579" s="12"/>
      <c r="C579" s="10"/>
      <c r="D579" s="12"/>
      <c r="E579" s="10"/>
      <c r="F579" s="10"/>
      <c r="G579" s="10"/>
      <c r="H579" s="10"/>
      <c r="I579" s="10"/>
      <c r="J579" s="10"/>
      <c r="K579" s="10"/>
      <c r="L579" s="10"/>
    </row>
    <row r="580">
      <c r="A580" s="22"/>
      <c r="B580" s="12"/>
      <c r="C580" s="10"/>
      <c r="D580" s="12"/>
      <c r="E580" s="10"/>
      <c r="F580" s="10"/>
      <c r="G580" s="10"/>
      <c r="H580" s="10"/>
      <c r="I580" s="10"/>
      <c r="J580" s="10"/>
      <c r="K580" s="10"/>
      <c r="L580" s="10"/>
    </row>
    <row r="581">
      <c r="A581" s="22"/>
      <c r="B581" s="12"/>
      <c r="C581" s="10"/>
      <c r="D581" s="12"/>
      <c r="E581" s="10"/>
      <c r="F581" s="10"/>
      <c r="G581" s="10"/>
      <c r="H581" s="10"/>
      <c r="I581" s="10"/>
      <c r="J581" s="10"/>
      <c r="K581" s="10"/>
      <c r="L581" s="10"/>
    </row>
    <row r="582">
      <c r="A582" s="22"/>
      <c r="B582" s="12"/>
      <c r="C582" s="10"/>
      <c r="D582" s="12"/>
      <c r="E582" s="10"/>
      <c r="F582" s="10"/>
      <c r="G582" s="10"/>
      <c r="H582" s="10"/>
      <c r="I582" s="10"/>
      <c r="J582" s="10"/>
      <c r="K582" s="10"/>
      <c r="L582" s="10"/>
    </row>
    <row r="583">
      <c r="A583" s="22"/>
      <c r="B583" s="12"/>
      <c r="C583" s="10"/>
      <c r="D583" s="12"/>
      <c r="E583" s="10"/>
      <c r="F583" s="10"/>
      <c r="G583" s="10"/>
      <c r="H583" s="10"/>
      <c r="I583" s="10"/>
      <c r="J583" s="10"/>
      <c r="K583" s="10"/>
      <c r="L583" s="10"/>
    </row>
    <row r="584">
      <c r="A584" s="22"/>
      <c r="B584" s="12"/>
      <c r="C584" s="10"/>
      <c r="D584" s="12"/>
      <c r="E584" s="10"/>
      <c r="F584" s="10"/>
      <c r="G584" s="10"/>
      <c r="H584" s="10"/>
      <c r="I584" s="10"/>
      <c r="J584" s="10"/>
      <c r="K584" s="10"/>
      <c r="L584" s="10"/>
    </row>
    <row r="585">
      <c r="A585" s="22"/>
      <c r="B585" s="12"/>
      <c r="C585" s="10"/>
      <c r="D585" s="12"/>
      <c r="E585" s="10"/>
      <c r="F585" s="10"/>
      <c r="G585" s="10"/>
      <c r="H585" s="10"/>
      <c r="I585" s="10"/>
      <c r="J585" s="10"/>
      <c r="K585" s="10"/>
      <c r="L585" s="10"/>
    </row>
    <row r="586">
      <c r="A586" s="22"/>
      <c r="B586" s="12"/>
      <c r="C586" s="10"/>
      <c r="D586" s="12"/>
      <c r="E586" s="10"/>
      <c r="F586" s="10"/>
      <c r="G586" s="10"/>
      <c r="H586" s="10"/>
      <c r="I586" s="10"/>
      <c r="J586" s="10"/>
      <c r="K586" s="10"/>
      <c r="L586" s="10"/>
    </row>
    <row r="587">
      <c r="A587" s="22"/>
      <c r="B587" s="12"/>
      <c r="C587" s="10"/>
      <c r="D587" s="12"/>
      <c r="E587" s="10"/>
      <c r="F587" s="10"/>
      <c r="G587" s="10"/>
      <c r="H587" s="10"/>
      <c r="I587" s="10"/>
      <c r="J587" s="10"/>
      <c r="K587" s="10"/>
      <c r="L587" s="10"/>
    </row>
    <row r="588">
      <c r="A588" s="22"/>
      <c r="B588" s="12"/>
      <c r="C588" s="10"/>
      <c r="D588" s="12"/>
      <c r="E588" s="10"/>
      <c r="F588" s="10"/>
      <c r="G588" s="10"/>
      <c r="H588" s="10"/>
      <c r="I588" s="10"/>
      <c r="J588" s="10"/>
      <c r="K588" s="10"/>
      <c r="L588" s="10"/>
    </row>
    <row r="589">
      <c r="A589" s="22"/>
      <c r="B589" s="12"/>
      <c r="C589" s="10"/>
      <c r="D589" s="12"/>
      <c r="E589" s="10"/>
      <c r="F589" s="10"/>
      <c r="G589" s="10"/>
      <c r="H589" s="10"/>
      <c r="I589" s="10"/>
      <c r="J589" s="10"/>
      <c r="K589" s="10"/>
      <c r="L589" s="10"/>
    </row>
    <row r="590">
      <c r="A590" s="22"/>
      <c r="B590" s="12"/>
      <c r="C590" s="10"/>
      <c r="D590" s="12"/>
      <c r="E590" s="10"/>
      <c r="F590" s="10"/>
      <c r="G590" s="10"/>
      <c r="H590" s="10"/>
      <c r="I590" s="10"/>
      <c r="J590" s="10"/>
      <c r="K590" s="10"/>
      <c r="L590" s="10"/>
    </row>
    <row r="591">
      <c r="A591" s="22"/>
      <c r="B591" s="12"/>
      <c r="C591" s="10"/>
      <c r="D591" s="12"/>
      <c r="E591" s="10"/>
      <c r="F591" s="10"/>
      <c r="G591" s="10"/>
      <c r="H591" s="10"/>
      <c r="I591" s="10"/>
      <c r="J591" s="10"/>
      <c r="K591" s="10"/>
      <c r="L591" s="10"/>
    </row>
    <row r="592">
      <c r="A592" s="22"/>
      <c r="B592" s="12"/>
      <c r="C592" s="10"/>
      <c r="D592" s="12"/>
      <c r="E592" s="10"/>
      <c r="F592" s="10"/>
      <c r="G592" s="10"/>
      <c r="H592" s="10"/>
      <c r="I592" s="10"/>
      <c r="J592" s="10"/>
      <c r="K592" s="10"/>
      <c r="L592" s="10"/>
    </row>
    <row r="593">
      <c r="A593" s="22"/>
      <c r="B593" s="12"/>
      <c r="C593" s="10"/>
      <c r="D593" s="12"/>
      <c r="E593" s="10"/>
      <c r="F593" s="10"/>
      <c r="G593" s="10"/>
      <c r="H593" s="10"/>
      <c r="I593" s="10"/>
      <c r="J593" s="10"/>
      <c r="K593" s="10"/>
      <c r="L593" s="10"/>
    </row>
    <row r="594">
      <c r="A594" s="22"/>
      <c r="B594" s="12"/>
      <c r="C594" s="10"/>
      <c r="D594" s="12"/>
      <c r="E594" s="10"/>
      <c r="F594" s="10"/>
      <c r="G594" s="10"/>
      <c r="H594" s="10"/>
      <c r="I594" s="10"/>
      <c r="J594" s="10"/>
      <c r="K594" s="10"/>
      <c r="L594" s="10"/>
    </row>
    <row r="595">
      <c r="A595" s="22"/>
      <c r="B595" s="12"/>
      <c r="C595" s="10"/>
      <c r="D595" s="12"/>
      <c r="E595" s="10"/>
      <c r="F595" s="10"/>
      <c r="G595" s="10"/>
      <c r="H595" s="10"/>
      <c r="I595" s="10"/>
      <c r="J595" s="10"/>
      <c r="K595" s="10"/>
      <c r="L595" s="10"/>
    </row>
    <row r="596">
      <c r="A596" s="22"/>
      <c r="B596" s="12"/>
      <c r="C596" s="10"/>
      <c r="D596" s="12"/>
      <c r="E596" s="10"/>
      <c r="F596" s="10"/>
      <c r="G596" s="10"/>
      <c r="H596" s="10"/>
      <c r="I596" s="10"/>
      <c r="J596" s="10"/>
      <c r="K596" s="10"/>
      <c r="L596" s="10"/>
    </row>
    <row r="597">
      <c r="A597" s="22"/>
      <c r="B597" s="12"/>
      <c r="C597" s="10"/>
      <c r="D597" s="12"/>
      <c r="E597" s="10"/>
      <c r="F597" s="10"/>
      <c r="G597" s="10"/>
      <c r="H597" s="10"/>
      <c r="I597" s="10"/>
      <c r="J597" s="10"/>
      <c r="K597" s="10"/>
      <c r="L597" s="10"/>
    </row>
    <row r="598">
      <c r="A598" s="22"/>
      <c r="B598" s="12"/>
      <c r="C598" s="10"/>
      <c r="D598" s="12"/>
      <c r="E598" s="10"/>
      <c r="F598" s="10"/>
      <c r="G598" s="10"/>
      <c r="H598" s="10"/>
      <c r="I598" s="10"/>
      <c r="J598" s="10"/>
      <c r="K598" s="10"/>
      <c r="L598" s="10"/>
    </row>
    <row r="599">
      <c r="A599" s="22"/>
      <c r="B599" s="12"/>
      <c r="C599" s="10"/>
      <c r="D599" s="12"/>
      <c r="E599" s="10"/>
      <c r="F599" s="10"/>
      <c r="G599" s="10"/>
      <c r="H599" s="10"/>
      <c r="I599" s="10"/>
      <c r="J599" s="10"/>
      <c r="K599" s="10"/>
      <c r="L599" s="10"/>
    </row>
    <row r="600">
      <c r="A600" s="22"/>
      <c r="B600" s="12"/>
      <c r="C600" s="10"/>
      <c r="D600" s="12"/>
      <c r="E600" s="10"/>
      <c r="F600" s="10"/>
      <c r="G600" s="10"/>
      <c r="H600" s="10"/>
      <c r="I600" s="10"/>
      <c r="J600" s="10"/>
      <c r="K600" s="10"/>
      <c r="L600" s="10"/>
    </row>
    <row r="601">
      <c r="A601" s="22"/>
      <c r="B601" s="12"/>
      <c r="C601" s="10"/>
      <c r="D601" s="12"/>
      <c r="E601" s="10"/>
      <c r="F601" s="10"/>
      <c r="G601" s="10"/>
      <c r="H601" s="10"/>
      <c r="I601" s="10"/>
      <c r="J601" s="10"/>
      <c r="K601" s="10"/>
      <c r="L601" s="10"/>
    </row>
    <row r="602">
      <c r="A602" s="22"/>
      <c r="B602" s="12"/>
      <c r="C602" s="10"/>
      <c r="D602" s="12"/>
      <c r="E602" s="10"/>
      <c r="F602" s="10"/>
      <c r="G602" s="10"/>
      <c r="H602" s="10"/>
      <c r="I602" s="10"/>
      <c r="J602" s="10"/>
      <c r="K602" s="10"/>
      <c r="L602" s="10"/>
    </row>
    <row r="603">
      <c r="A603" s="22"/>
      <c r="B603" s="12"/>
      <c r="C603" s="10"/>
      <c r="D603" s="12"/>
      <c r="E603" s="10"/>
      <c r="F603" s="10"/>
      <c r="G603" s="10"/>
      <c r="H603" s="10"/>
      <c r="I603" s="10"/>
      <c r="J603" s="10"/>
      <c r="K603" s="10"/>
      <c r="L603" s="10"/>
    </row>
    <row r="604">
      <c r="A604" s="22"/>
      <c r="B604" s="12"/>
      <c r="C604" s="10"/>
      <c r="D604" s="12"/>
      <c r="E604" s="10"/>
      <c r="F604" s="10"/>
      <c r="G604" s="10"/>
      <c r="H604" s="10"/>
      <c r="I604" s="10"/>
      <c r="J604" s="10"/>
      <c r="K604" s="10"/>
      <c r="L604" s="10"/>
    </row>
    <row r="605">
      <c r="A605" s="22"/>
      <c r="B605" s="12"/>
      <c r="C605" s="10"/>
      <c r="D605" s="12"/>
      <c r="E605" s="10"/>
      <c r="F605" s="10"/>
      <c r="G605" s="10"/>
      <c r="H605" s="10"/>
      <c r="I605" s="10"/>
      <c r="J605" s="10"/>
      <c r="K605" s="10"/>
      <c r="L605" s="10"/>
    </row>
    <row r="606">
      <c r="A606" s="22"/>
      <c r="B606" s="12"/>
      <c r="C606" s="10"/>
      <c r="D606" s="12"/>
      <c r="E606" s="10"/>
      <c r="F606" s="10"/>
      <c r="G606" s="10"/>
      <c r="H606" s="10"/>
      <c r="I606" s="10"/>
      <c r="J606" s="10"/>
      <c r="K606" s="10"/>
      <c r="L606" s="10"/>
    </row>
    <row r="607">
      <c r="A607" s="22"/>
      <c r="B607" s="12"/>
      <c r="C607" s="10"/>
      <c r="D607" s="12"/>
      <c r="E607" s="10"/>
      <c r="F607" s="10"/>
      <c r="G607" s="10"/>
      <c r="H607" s="10"/>
      <c r="I607" s="10"/>
      <c r="J607" s="10"/>
      <c r="K607" s="10"/>
      <c r="L607" s="10"/>
    </row>
    <row r="608">
      <c r="A608" s="22"/>
      <c r="B608" s="12"/>
      <c r="C608" s="10"/>
      <c r="D608" s="12"/>
      <c r="E608" s="10"/>
      <c r="F608" s="10"/>
      <c r="G608" s="10"/>
      <c r="H608" s="10"/>
      <c r="I608" s="10"/>
      <c r="J608" s="10"/>
      <c r="K608" s="10"/>
      <c r="L608" s="10"/>
    </row>
    <row r="609">
      <c r="A609" s="22"/>
      <c r="B609" s="12"/>
      <c r="C609" s="10"/>
      <c r="D609" s="12"/>
      <c r="E609" s="10"/>
      <c r="F609" s="10"/>
      <c r="G609" s="10"/>
      <c r="H609" s="10"/>
      <c r="I609" s="10"/>
      <c r="J609" s="10"/>
      <c r="K609" s="10"/>
      <c r="L609" s="10"/>
    </row>
    <row r="610">
      <c r="A610" s="22"/>
      <c r="B610" s="12"/>
      <c r="C610" s="10"/>
      <c r="D610" s="12"/>
      <c r="E610" s="10"/>
      <c r="F610" s="10"/>
      <c r="G610" s="10"/>
      <c r="H610" s="10"/>
      <c r="I610" s="10"/>
      <c r="J610" s="10"/>
      <c r="K610" s="10"/>
      <c r="L610" s="10"/>
    </row>
    <row r="611">
      <c r="A611" s="22"/>
      <c r="B611" s="12"/>
      <c r="C611" s="10"/>
      <c r="D611" s="12"/>
      <c r="E611" s="10"/>
      <c r="F611" s="10"/>
      <c r="G611" s="10"/>
      <c r="H611" s="10"/>
      <c r="I611" s="10"/>
      <c r="J611" s="10"/>
      <c r="K611" s="10"/>
      <c r="L611" s="10"/>
    </row>
    <row r="612">
      <c r="A612" s="22"/>
      <c r="B612" s="12"/>
      <c r="C612" s="10"/>
      <c r="D612" s="12"/>
      <c r="E612" s="10"/>
      <c r="F612" s="10"/>
      <c r="G612" s="10"/>
      <c r="H612" s="10"/>
      <c r="I612" s="10"/>
      <c r="J612" s="10"/>
      <c r="K612" s="10"/>
      <c r="L612" s="10"/>
    </row>
    <row r="613">
      <c r="A613" s="22"/>
      <c r="B613" s="12"/>
      <c r="C613" s="10"/>
      <c r="D613" s="12"/>
      <c r="E613" s="10"/>
      <c r="F613" s="10"/>
      <c r="G613" s="10"/>
      <c r="H613" s="10"/>
      <c r="I613" s="10"/>
      <c r="J613" s="10"/>
      <c r="K613" s="10"/>
      <c r="L613" s="10"/>
    </row>
    <row r="614">
      <c r="A614" s="22"/>
      <c r="B614" s="12"/>
      <c r="C614" s="10"/>
      <c r="D614" s="12"/>
      <c r="E614" s="10"/>
      <c r="F614" s="10"/>
      <c r="G614" s="10"/>
      <c r="H614" s="10"/>
      <c r="I614" s="10"/>
      <c r="J614" s="10"/>
      <c r="K614" s="10"/>
      <c r="L614" s="10"/>
    </row>
    <row r="615">
      <c r="A615" s="22"/>
      <c r="B615" s="12"/>
      <c r="C615" s="10"/>
      <c r="D615" s="12"/>
      <c r="E615" s="10"/>
      <c r="F615" s="10"/>
      <c r="G615" s="10"/>
      <c r="H615" s="10"/>
      <c r="I615" s="10"/>
      <c r="J615" s="10"/>
      <c r="K615" s="10"/>
      <c r="L615" s="10"/>
    </row>
    <row r="616">
      <c r="A616" s="22"/>
      <c r="B616" s="12"/>
      <c r="C616" s="10"/>
      <c r="D616" s="12"/>
      <c r="E616" s="10"/>
      <c r="F616" s="10"/>
      <c r="G616" s="10"/>
      <c r="H616" s="10"/>
      <c r="I616" s="10"/>
      <c r="J616" s="10"/>
      <c r="K616" s="10"/>
      <c r="L616" s="10"/>
    </row>
    <row r="617">
      <c r="A617" s="22"/>
      <c r="B617" s="12"/>
      <c r="C617" s="10"/>
      <c r="D617" s="12"/>
      <c r="E617" s="10"/>
      <c r="F617" s="10"/>
      <c r="G617" s="10"/>
      <c r="H617" s="10"/>
      <c r="I617" s="10"/>
      <c r="J617" s="10"/>
      <c r="K617" s="10"/>
      <c r="L617" s="10"/>
    </row>
    <row r="618">
      <c r="A618" s="22"/>
      <c r="B618" s="12"/>
      <c r="C618" s="10"/>
      <c r="D618" s="12"/>
      <c r="E618" s="10"/>
      <c r="F618" s="10"/>
      <c r="G618" s="10"/>
      <c r="H618" s="10"/>
      <c r="I618" s="10"/>
      <c r="J618" s="10"/>
      <c r="K618" s="10"/>
      <c r="L618" s="10"/>
    </row>
    <row r="619">
      <c r="A619" s="22"/>
      <c r="B619" s="12"/>
      <c r="C619" s="10"/>
      <c r="D619" s="12"/>
      <c r="E619" s="10"/>
      <c r="F619" s="10"/>
      <c r="G619" s="10"/>
      <c r="H619" s="10"/>
      <c r="I619" s="10"/>
      <c r="J619" s="10"/>
      <c r="K619" s="10"/>
      <c r="L619" s="10"/>
    </row>
    <row r="620">
      <c r="A620" s="22"/>
      <c r="B620" s="12"/>
      <c r="C620" s="10"/>
      <c r="D620" s="12"/>
      <c r="E620" s="10"/>
      <c r="F620" s="10"/>
      <c r="G620" s="10"/>
      <c r="H620" s="10"/>
      <c r="I620" s="10"/>
      <c r="J620" s="10"/>
      <c r="K620" s="10"/>
      <c r="L620" s="10"/>
    </row>
    <row r="621">
      <c r="A621" s="22"/>
      <c r="B621" s="12"/>
      <c r="C621" s="10"/>
      <c r="D621" s="12"/>
      <c r="E621" s="10"/>
      <c r="F621" s="10"/>
      <c r="G621" s="10"/>
      <c r="H621" s="10"/>
      <c r="I621" s="10"/>
      <c r="J621" s="10"/>
      <c r="K621" s="10"/>
      <c r="L621" s="10"/>
    </row>
    <row r="622">
      <c r="A622" s="22"/>
      <c r="B622" s="12"/>
      <c r="C622" s="10"/>
      <c r="D622" s="12"/>
      <c r="E622" s="10"/>
      <c r="F622" s="10"/>
      <c r="G622" s="10"/>
      <c r="H622" s="10"/>
      <c r="I622" s="10"/>
      <c r="J622" s="10"/>
      <c r="K622" s="10"/>
      <c r="L622" s="10"/>
    </row>
    <row r="623">
      <c r="A623" s="22"/>
      <c r="B623" s="12"/>
      <c r="C623" s="10"/>
      <c r="D623" s="12"/>
      <c r="E623" s="10"/>
      <c r="F623" s="10"/>
      <c r="G623" s="10"/>
      <c r="H623" s="10"/>
      <c r="I623" s="10"/>
      <c r="J623" s="10"/>
      <c r="K623" s="10"/>
      <c r="L623" s="10"/>
    </row>
    <row r="624">
      <c r="A624" s="22"/>
      <c r="B624" s="12"/>
      <c r="C624" s="10"/>
      <c r="D624" s="12"/>
      <c r="E624" s="10"/>
      <c r="F624" s="10"/>
      <c r="G624" s="10"/>
      <c r="H624" s="10"/>
      <c r="I624" s="10"/>
      <c r="J624" s="10"/>
      <c r="K624" s="10"/>
      <c r="L624" s="10"/>
    </row>
    <row r="625">
      <c r="A625" s="22"/>
      <c r="B625" s="12"/>
      <c r="C625" s="10"/>
      <c r="D625" s="12"/>
      <c r="E625" s="10"/>
      <c r="F625" s="10"/>
      <c r="G625" s="10"/>
      <c r="H625" s="10"/>
      <c r="I625" s="10"/>
      <c r="J625" s="10"/>
      <c r="K625" s="10"/>
      <c r="L625" s="10"/>
    </row>
    <row r="626">
      <c r="A626" s="22"/>
      <c r="B626" s="12"/>
      <c r="C626" s="10"/>
      <c r="D626" s="12"/>
      <c r="E626" s="10"/>
      <c r="F626" s="10"/>
      <c r="G626" s="10"/>
      <c r="H626" s="10"/>
      <c r="I626" s="10"/>
      <c r="J626" s="10"/>
      <c r="K626" s="10"/>
      <c r="L626" s="10"/>
    </row>
    <row r="627">
      <c r="A627" s="22"/>
      <c r="B627" s="12"/>
      <c r="C627" s="10"/>
      <c r="D627" s="12"/>
      <c r="E627" s="10"/>
      <c r="F627" s="10"/>
      <c r="G627" s="10"/>
      <c r="H627" s="10"/>
      <c r="I627" s="10"/>
      <c r="J627" s="10"/>
      <c r="K627" s="10"/>
      <c r="L627" s="10"/>
    </row>
    <row r="628">
      <c r="A628" s="22"/>
      <c r="B628" s="12"/>
      <c r="C628" s="10"/>
      <c r="D628" s="12"/>
      <c r="E628" s="10"/>
      <c r="F628" s="10"/>
      <c r="G628" s="10"/>
      <c r="H628" s="10"/>
      <c r="I628" s="10"/>
      <c r="J628" s="10"/>
      <c r="K628" s="10"/>
      <c r="L628" s="10"/>
    </row>
    <row r="629">
      <c r="A629" s="22"/>
      <c r="B629" s="12"/>
      <c r="C629" s="10"/>
      <c r="D629" s="12"/>
      <c r="E629" s="10"/>
      <c r="F629" s="10"/>
      <c r="G629" s="10"/>
      <c r="H629" s="10"/>
      <c r="I629" s="10"/>
      <c r="J629" s="10"/>
      <c r="K629" s="10"/>
      <c r="L629" s="10"/>
    </row>
    <row r="630">
      <c r="A630" s="22"/>
      <c r="B630" s="12"/>
      <c r="C630" s="10"/>
      <c r="D630" s="12"/>
      <c r="E630" s="10"/>
      <c r="F630" s="10"/>
      <c r="G630" s="10"/>
      <c r="H630" s="10"/>
      <c r="I630" s="10"/>
      <c r="J630" s="10"/>
      <c r="K630" s="10"/>
      <c r="L630" s="10"/>
    </row>
    <row r="631">
      <c r="A631" s="22"/>
      <c r="B631" s="12"/>
      <c r="C631" s="10"/>
      <c r="D631" s="12"/>
      <c r="E631" s="10"/>
      <c r="F631" s="10"/>
      <c r="G631" s="10"/>
      <c r="H631" s="10"/>
      <c r="I631" s="10"/>
      <c r="J631" s="10"/>
      <c r="K631" s="10"/>
      <c r="L631" s="10"/>
    </row>
    <row r="632">
      <c r="A632" s="22"/>
      <c r="B632" s="12"/>
      <c r="C632" s="10"/>
      <c r="D632" s="12"/>
      <c r="E632" s="10"/>
      <c r="F632" s="10"/>
      <c r="G632" s="10"/>
      <c r="H632" s="10"/>
      <c r="I632" s="10"/>
      <c r="J632" s="10"/>
      <c r="K632" s="10"/>
      <c r="L632" s="10"/>
    </row>
    <row r="633">
      <c r="A633" s="22"/>
      <c r="B633" s="12"/>
      <c r="C633" s="10"/>
      <c r="D633" s="12"/>
      <c r="E633" s="10"/>
      <c r="F633" s="10"/>
      <c r="G633" s="10"/>
      <c r="H633" s="10"/>
      <c r="I633" s="10"/>
      <c r="J633" s="10"/>
      <c r="K633" s="10"/>
      <c r="L633" s="10"/>
    </row>
    <row r="634">
      <c r="A634" s="22"/>
      <c r="B634" s="12"/>
      <c r="C634" s="10"/>
      <c r="D634" s="12"/>
      <c r="E634" s="10"/>
      <c r="F634" s="10"/>
      <c r="G634" s="10"/>
      <c r="H634" s="10"/>
      <c r="I634" s="10"/>
      <c r="J634" s="10"/>
      <c r="K634" s="10"/>
      <c r="L634" s="10"/>
    </row>
    <row r="635">
      <c r="A635" s="22"/>
      <c r="B635" s="12"/>
      <c r="C635" s="10"/>
      <c r="D635" s="12"/>
      <c r="E635" s="10"/>
      <c r="F635" s="10"/>
      <c r="G635" s="10"/>
      <c r="H635" s="10"/>
      <c r="I635" s="10"/>
      <c r="J635" s="10"/>
      <c r="K635" s="10"/>
      <c r="L635" s="10"/>
    </row>
    <row r="636">
      <c r="A636" s="22"/>
      <c r="B636" s="12"/>
      <c r="C636" s="10"/>
      <c r="D636" s="12"/>
      <c r="E636" s="10"/>
      <c r="F636" s="10"/>
      <c r="G636" s="10"/>
      <c r="H636" s="10"/>
      <c r="I636" s="10"/>
      <c r="J636" s="10"/>
      <c r="K636" s="10"/>
      <c r="L636" s="10"/>
    </row>
    <row r="637">
      <c r="A637" s="22"/>
      <c r="B637" s="12"/>
      <c r="C637" s="10"/>
      <c r="D637" s="12"/>
      <c r="E637" s="10"/>
      <c r="F637" s="10"/>
      <c r="G637" s="10"/>
      <c r="H637" s="10"/>
      <c r="I637" s="10"/>
      <c r="J637" s="10"/>
      <c r="K637" s="10"/>
      <c r="L637" s="10"/>
    </row>
    <row r="638">
      <c r="A638" s="22"/>
      <c r="B638" s="12"/>
      <c r="C638" s="10"/>
      <c r="D638" s="12"/>
      <c r="E638" s="10"/>
      <c r="F638" s="10"/>
      <c r="G638" s="10"/>
      <c r="H638" s="10"/>
      <c r="I638" s="10"/>
      <c r="J638" s="10"/>
      <c r="K638" s="10"/>
      <c r="L638" s="10"/>
    </row>
    <row r="639">
      <c r="A639" s="22"/>
      <c r="B639" s="12"/>
      <c r="C639" s="10"/>
      <c r="D639" s="12"/>
      <c r="E639" s="10"/>
      <c r="F639" s="10"/>
      <c r="G639" s="10"/>
      <c r="H639" s="10"/>
      <c r="I639" s="10"/>
      <c r="J639" s="10"/>
      <c r="K639" s="10"/>
      <c r="L639" s="10"/>
    </row>
    <row r="640">
      <c r="A640" s="22"/>
      <c r="B640" s="12"/>
      <c r="C640" s="10"/>
      <c r="D640" s="12"/>
      <c r="E640" s="10"/>
      <c r="F640" s="10"/>
      <c r="G640" s="10"/>
      <c r="H640" s="10"/>
      <c r="I640" s="10"/>
      <c r="J640" s="10"/>
      <c r="K640" s="10"/>
      <c r="L640" s="10"/>
    </row>
    <row r="641">
      <c r="A641" s="22"/>
      <c r="B641" s="12"/>
      <c r="C641" s="10"/>
      <c r="D641" s="12"/>
      <c r="E641" s="10"/>
      <c r="F641" s="10"/>
      <c r="G641" s="10"/>
      <c r="H641" s="10"/>
      <c r="I641" s="10"/>
      <c r="J641" s="10"/>
      <c r="K641" s="10"/>
      <c r="L641" s="10"/>
    </row>
    <row r="642">
      <c r="A642" s="22"/>
      <c r="B642" s="12"/>
      <c r="C642" s="10"/>
      <c r="D642" s="12"/>
      <c r="E642" s="10"/>
      <c r="F642" s="10"/>
      <c r="G642" s="10"/>
      <c r="H642" s="10"/>
      <c r="I642" s="10"/>
      <c r="J642" s="10"/>
      <c r="K642" s="10"/>
      <c r="L642" s="10"/>
    </row>
    <row r="643">
      <c r="A643" s="22"/>
      <c r="B643" s="12"/>
      <c r="C643" s="10"/>
      <c r="D643" s="12"/>
      <c r="E643" s="10"/>
      <c r="F643" s="10"/>
      <c r="G643" s="10"/>
      <c r="H643" s="10"/>
      <c r="I643" s="10"/>
      <c r="J643" s="10"/>
      <c r="K643" s="10"/>
      <c r="L643" s="10"/>
    </row>
    <row r="644">
      <c r="A644" s="22"/>
      <c r="B644" s="12"/>
      <c r="C644" s="10"/>
      <c r="D644" s="12"/>
      <c r="E644" s="10"/>
      <c r="F644" s="10"/>
      <c r="G644" s="10"/>
      <c r="H644" s="10"/>
      <c r="I644" s="10"/>
      <c r="J644" s="10"/>
      <c r="K644" s="10"/>
      <c r="L644" s="10"/>
    </row>
    <row r="645">
      <c r="A645" s="22"/>
      <c r="B645" s="12"/>
      <c r="C645" s="10"/>
      <c r="D645" s="12"/>
      <c r="E645" s="10"/>
      <c r="F645" s="10"/>
      <c r="G645" s="10"/>
      <c r="H645" s="10"/>
      <c r="I645" s="10"/>
      <c r="J645" s="10"/>
      <c r="K645" s="10"/>
      <c r="L645" s="10"/>
    </row>
    <row r="646">
      <c r="A646" s="22"/>
      <c r="B646" s="12"/>
      <c r="C646" s="10"/>
      <c r="D646" s="12"/>
      <c r="E646" s="10"/>
      <c r="F646" s="10"/>
      <c r="G646" s="10"/>
      <c r="H646" s="10"/>
      <c r="I646" s="10"/>
      <c r="J646" s="10"/>
      <c r="K646" s="10"/>
      <c r="L646" s="10"/>
    </row>
    <row r="647">
      <c r="A647" s="22"/>
      <c r="B647" s="12"/>
      <c r="C647" s="10"/>
      <c r="D647" s="12"/>
      <c r="E647" s="10"/>
      <c r="F647" s="10"/>
      <c r="G647" s="10"/>
      <c r="H647" s="10"/>
      <c r="I647" s="10"/>
      <c r="J647" s="10"/>
      <c r="K647" s="10"/>
      <c r="L647" s="10"/>
    </row>
    <row r="648">
      <c r="A648" s="22"/>
      <c r="B648" s="12"/>
      <c r="C648" s="10"/>
      <c r="D648" s="12"/>
      <c r="E648" s="10"/>
      <c r="F648" s="10"/>
      <c r="G648" s="10"/>
      <c r="H648" s="10"/>
      <c r="I648" s="10"/>
      <c r="J648" s="10"/>
      <c r="K648" s="10"/>
      <c r="L648" s="10"/>
    </row>
    <row r="649">
      <c r="A649" s="22"/>
      <c r="B649" s="12"/>
      <c r="C649" s="10"/>
      <c r="D649" s="12"/>
      <c r="E649" s="10"/>
      <c r="F649" s="10"/>
      <c r="G649" s="10"/>
      <c r="H649" s="10"/>
      <c r="I649" s="10"/>
      <c r="J649" s="10"/>
      <c r="K649" s="10"/>
      <c r="L649" s="10"/>
    </row>
    <row r="650">
      <c r="A650" s="22"/>
      <c r="B650" s="12"/>
      <c r="C650" s="10"/>
      <c r="D650" s="12"/>
      <c r="E650" s="10"/>
      <c r="F650" s="10"/>
      <c r="G650" s="10"/>
      <c r="H650" s="10"/>
      <c r="I650" s="10"/>
      <c r="J650" s="10"/>
      <c r="K650" s="10"/>
      <c r="L650" s="10"/>
    </row>
    <row r="651">
      <c r="A651" s="22"/>
      <c r="B651" s="12"/>
      <c r="C651" s="10"/>
      <c r="D651" s="12"/>
      <c r="E651" s="10"/>
      <c r="F651" s="10"/>
      <c r="G651" s="10"/>
      <c r="H651" s="10"/>
      <c r="I651" s="10"/>
      <c r="J651" s="10"/>
      <c r="K651" s="10"/>
      <c r="L651" s="10"/>
    </row>
    <row r="652">
      <c r="A652" s="22"/>
      <c r="B652" s="12"/>
      <c r="C652" s="10"/>
      <c r="D652" s="12"/>
      <c r="E652" s="10"/>
      <c r="F652" s="10"/>
      <c r="G652" s="10"/>
      <c r="H652" s="10"/>
      <c r="I652" s="10"/>
      <c r="J652" s="10"/>
      <c r="K652" s="10"/>
      <c r="L652" s="10"/>
    </row>
    <row r="653">
      <c r="A653" s="22"/>
      <c r="B653" s="12"/>
      <c r="C653" s="10"/>
      <c r="D653" s="12"/>
      <c r="E653" s="10"/>
      <c r="F653" s="10"/>
      <c r="G653" s="10"/>
      <c r="H653" s="10"/>
      <c r="I653" s="10"/>
      <c r="J653" s="10"/>
      <c r="K653" s="10"/>
      <c r="L653" s="10"/>
    </row>
    <row r="654">
      <c r="A654" s="22"/>
      <c r="B654" s="12"/>
      <c r="C654" s="10"/>
      <c r="D654" s="12"/>
      <c r="E654" s="10"/>
      <c r="F654" s="10"/>
      <c r="G654" s="10"/>
      <c r="H654" s="10"/>
      <c r="I654" s="10"/>
      <c r="J654" s="10"/>
      <c r="K654" s="10"/>
      <c r="L654" s="10"/>
    </row>
    <row r="655">
      <c r="A655" s="22"/>
      <c r="B655" s="12"/>
      <c r="C655" s="10"/>
      <c r="D655" s="12"/>
      <c r="E655" s="10"/>
      <c r="F655" s="10"/>
      <c r="G655" s="10"/>
      <c r="H655" s="10"/>
      <c r="I655" s="10"/>
      <c r="J655" s="10"/>
      <c r="K655" s="10"/>
      <c r="L655" s="10"/>
    </row>
    <row r="656">
      <c r="A656" s="22"/>
      <c r="B656" s="12"/>
      <c r="C656" s="10"/>
      <c r="D656" s="12"/>
      <c r="E656" s="10"/>
      <c r="F656" s="10"/>
      <c r="G656" s="10"/>
      <c r="H656" s="10"/>
      <c r="I656" s="10"/>
      <c r="J656" s="10"/>
      <c r="K656" s="10"/>
      <c r="L656" s="10"/>
    </row>
    <row r="657">
      <c r="A657" s="22"/>
      <c r="B657" s="12"/>
      <c r="C657" s="10"/>
      <c r="D657" s="12"/>
      <c r="E657" s="10"/>
      <c r="F657" s="10"/>
      <c r="G657" s="10"/>
      <c r="H657" s="10"/>
      <c r="I657" s="10"/>
      <c r="J657" s="10"/>
      <c r="K657" s="10"/>
      <c r="L657" s="10"/>
    </row>
    <row r="658">
      <c r="A658" s="22"/>
      <c r="B658" s="12"/>
      <c r="C658" s="10"/>
      <c r="D658" s="12"/>
      <c r="E658" s="10"/>
      <c r="F658" s="10"/>
      <c r="G658" s="10"/>
      <c r="H658" s="10"/>
      <c r="I658" s="10"/>
      <c r="J658" s="10"/>
      <c r="K658" s="10"/>
      <c r="L658" s="10"/>
    </row>
    <row r="659">
      <c r="A659" s="22"/>
      <c r="B659" s="12"/>
      <c r="C659" s="10"/>
      <c r="D659" s="12"/>
      <c r="E659" s="10"/>
      <c r="F659" s="10"/>
      <c r="G659" s="10"/>
      <c r="H659" s="10"/>
      <c r="I659" s="10"/>
      <c r="J659" s="10"/>
      <c r="K659" s="10"/>
      <c r="L659" s="10"/>
    </row>
    <row r="660">
      <c r="A660" s="22"/>
      <c r="B660" s="12"/>
      <c r="C660" s="10"/>
      <c r="D660" s="12"/>
      <c r="E660" s="10"/>
      <c r="F660" s="10"/>
      <c r="G660" s="10"/>
      <c r="H660" s="10"/>
      <c r="I660" s="10"/>
      <c r="J660" s="10"/>
      <c r="K660" s="10"/>
      <c r="L660" s="10"/>
    </row>
    <row r="661">
      <c r="A661" s="22"/>
      <c r="B661" s="12"/>
      <c r="C661" s="10"/>
      <c r="D661" s="12"/>
      <c r="E661" s="10"/>
      <c r="F661" s="10"/>
      <c r="G661" s="10"/>
      <c r="H661" s="10"/>
      <c r="I661" s="10"/>
      <c r="J661" s="10"/>
      <c r="K661" s="10"/>
      <c r="L661" s="10"/>
    </row>
    <row r="662">
      <c r="A662" s="22"/>
      <c r="B662" s="12"/>
      <c r="C662" s="10"/>
      <c r="D662" s="12"/>
      <c r="E662" s="10"/>
      <c r="F662" s="10"/>
      <c r="G662" s="10"/>
      <c r="H662" s="10"/>
      <c r="I662" s="10"/>
      <c r="J662" s="10"/>
      <c r="K662" s="10"/>
      <c r="L662" s="10"/>
    </row>
    <row r="663">
      <c r="A663" s="22"/>
      <c r="B663" s="12"/>
      <c r="C663" s="10"/>
      <c r="D663" s="12"/>
      <c r="E663" s="10"/>
      <c r="F663" s="10"/>
      <c r="G663" s="10"/>
      <c r="H663" s="10"/>
      <c r="I663" s="10"/>
      <c r="J663" s="10"/>
      <c r="K663" s="10"/>
      <c r="L663" s="10"/>
    </row>
    <row r="664">
      <c r="A664" s="22"/>
      <c r="B664" s="12"/>
      <c r="C664" s="10"/>
      <c r="D664" s="12"/>
      <c r="E664" s="10"/>
      <c r="F664" s="10"/>
      <c r="G664" s="10"/>
      <c r="H664" s="10"/>
      <c r="I664" s="10"/>
      <c r="J664" s="10"/>
      <c r="K664" s="10"/>
      <c r="L664" s="10"/>
    </row>
    <row r="665">
      <c r="A665" s="22"/>
      <c r="B665" s="12"/>
      <c r="C665" s="10"/>
      <c r="D665" s="12"/>
      <c r="E665" s="10"/>
      <c r="F665" s="10"/>
      <c r="G665" s="10"/>
      <c r="H665" s="10"/>
      <c r="I665" s="10"/>
      <c r="J665" s="10"/>
      <c r="K665" s="10"/>
      <c r="L665" s="10"/>
    </row>
    <row r="666">
      <c r="A666" s="22"/>
      <c r="B666" s="12"/>
      <c r="C666" s="10"/>
      <c r="D666" s="12"/>
      <c r="E666" s="10"/>
      <c r="F666" s="10"/>
      <c r="G666" s="10"/>
      <c r="H666" s="10"/>
      <c r="I666" s="10"/>
      <c r="J666" s="10"/>
      <c r="K666" s="10"/>
      <c r="L666" s="10"/>
    </row>
    <row r="667">
      <c r="A667" s="22"/>
      <c r="B667" s="12"/>
      <c r="C667" s="10"/>
      <c r="D667" s="12"/>
      <c r="E667" s="10"/>
      <c r="F667" s="10"/>
      <c r="G667" s="10"/>
      <c r="H667" s="10"/>
      <c r="I667" s="10"/>
      <c r="J667" s="10"/>
      <c r="K667" s="10"/>
      <c r="L667" s="10"/>
    </row>
    <row r="668">
      <c r="A668" s="22"/>
      <c r="B668" s="12"/>
      <c r="C668" s="10"/>
      <c r="D668" s="12"/>
      <c r="E668" s="10"/>
      <c r="F668" s="10"/>
      <c r="G668" s="10"/>
      <c r="H668" s="10"/>
      <c r="I668" s="10"/>
      <c r="J668" s="10"/>
      <c r="K668" s="10"/>
      <c r="L668" s="10"/>
    </row>
    <row r="669">
      <c r="A669" s="22"/>
      <c r="B669" s="12"/>
      <c r="C669" s="10"/>
      <c r="D669" s="12"/>
      <c r="E669" s="10"/>
      <c r="F669" s="10"/>
      <c r="G669" s="10"/>
      <c r="H669" s="10"/>
      <c r="I669" s="10"/>
      <c r="J669" s="10"/>
      <c r="K669" s="10"/>
      <c r="L669" s="10"/>
    </row>
    <row r="670">
      <c r="A670" s="22"/>
      <c r="B670" s="12"/>
      <c r="C670" s="10"/>
      <c r="D670" s="12"/>
      <c r="E670" s="10"/>
      <c r="F670" s="10"/>
      <c r="G670" s="10"/>
      <c r="H670" s="10"/>
      <c r="I670" s="10"/>
      <c r="J670" s="10"/>
      <c r="K670" s="10"/>
      <c r="L670" s="10"/>
    </row>
    <row r="671">
      <c r="A671" s="22"/>
      <c r="B671" s="12"/>
      <c r="C671" s="10"/>
      <c r="D671" s="12"/>
      <c r="E671" s="10"/>
      <c r="F671" s="10"/>
      <c r="G671" s="10"/>
      <c r="H671" s="10"/>
      <c r="I671" s="10"/>
      <c r="J671" s="10"/>
      <c r="K671" s="10"/>
      <c r="L671" s="10"/>
    </row>
    <row r="672">
      <c r="A672" s="22"/>
      <c r="B672" s="12"/>
      <c r="C672" s="10"/>
      <c r="D672" s="12"/>
      <c r="E672" s="10"/>
      <c r="F672" s="10"/>
      <c r="G672" s="10"/>
      <c r="H672" s="10"/>
      <c r="I672" s="10"/>
      <c r="J672" s="10"/>
      <c r="K672" s="10"/>
      <c r="L672" s="10"/>
    </row>
    <row r="673">
      <c r="A673" s="22"/>
      <c r="B673" s="12"/>
      <c r="C673" s="10"/>
      <c r="D673" s="12"/>
      <c r="E673" s="10"/>
      <c r="F673" s="10"/>
      <c r="G673" s="10"/>
      <c r="H673" s="10"/>
      <c r="I673" s="10"/>
      <c r="J673" s="10"/>
      <c r="K673" s="10"/>
      <c r="L673" s="10"/>
    </row>
    <row r="674">
      <c r="A674" s="22"/>
      <c r="B674" s="12"/>
      <c r="C674" s="10"/>
      <c r="D674" s="12"/>
      <c r="E674" s="10"/>
      <c r="F674" s="10"/>
      <c r="G674" s="10"/>
      <c r="H674" s="10"/>
      <c r="I674" s="10"/>
      <c r="J674" s="10"/>
      <c r="K674" s="10"/>
      <c r="L674" s="10"/>
    </row>
    <row r="675">
      <c r="A675" s="22"/>
      <c r="B675" s="12"/>
      <c r="C675" s="10"/>
      <c r="D675" s="12"/>
      <c r="E675" s="10"/>
      <c r="F675" s="10"/>
      <c r="G675" s="10"/>
      <c r="H675" s="10"/>
      <c r="I675" s="10"/>
      <c r="J675" s="10"/>
      <c r="K675" s="10"/>
      <c r="L675" s="10"/>
    </row>
    <row r="676">
      <c r="A676" s="22"/>
      <c r="B676" s="12"/>
      <c r="C676" s="10"/>
      <c r="D676" s="12"/>
      <c r="E676" s="10"/>
      <c r="F676" s="10"/>
      <c r="G676" s="10"/>
      <c r="H676" s="10"/>
      <c r="I676" s="10"/>
      <c r="J676" s="10"/>
      <c r="K676" s="10"/>
      <c r="L676" s="10"/>
    </row>
    <row r="677">
      <c r="A677" s="22"/>
      <c r="B677" s="12"/>
      <c r="C677" s="10"/>
      <c r="D677" s="12"/>
      <c r="E677" s="10"/>
      <c r="F677" s="10"/>
      <c r="G677" s="10"/>
      <c r="H677" s="10"/>
      <c r="I677" s="10"/>
      <c r="J677" s="10"/>
      <c r="K677" s="10"/>
      <c r="L677" s="10"/>
    </row>
    <row r="678">
      <c r="A678" s="22"/>
      <c r="B678" s="12"/>
      <c r="C678" s="10"/>
      <c r="D678" s="12"/>
      <c r="E678" s="10"/>
      <c r="F678" s="10"/>
      <c r="G678" s="10"/>
      <c r="H678" s="10"/>
      <c r="I678" s="10"/>
      <c r="J678" s="10"/>
      <c r="K678" s="10"/>
      <c r="L678" s="10"/>
    </row>
    <row r="679">
      <c r="A679" s="22"/>
      <c r="B679" s="12"/>
      <c r="C679" s="10"/>
      <c r="D679" s="12"/>
      <c r="E679" s="10"/>
      <c r="F679" s="10"/>
      <c r="G679" s="10"/>
      <c r="H679" s="10"/>
      <c r="I679" s="10"/>
      <c r="J679" s="10"/>
      <c r="K679" s="10"/>
      <c r="L679" s="10"/>
    </row>
    <row r="680">
      <c r="A680" s="22"/>
      <c r="B680" s="12"/>
      <c r="C680" s="10"/>
      <c r="D680" s="12"/>
      <c r="E680" s="10"/>
      <c r="F680" s="10"/>
      <c r="G680" s="10"/>
      <c r="H680" s="10"/>
      <c r="I680" s="10"/>
      <c r="J680" s="10"/>
      <c r="K680" s="10"/>
      <c r="L680" s="10"/>
    </row>
    <row r="681">
      <c r="A681" s="22"/>
      <c r="B681" s="12"/>
      <c r="C681" s="10"/>
      <c r="D681" s="12"/>
      <c r="E681" s="10"/>
      <c r="F681" s="10"/>
      <c r="G681" s="10"/>
      <c r="H681" s="10"/>
      <c r="I681" s="10"/>
      <c r="J681" s="10"/>
      <c r="K681" s="10"/>
      <c r="L681" s="10"/>
    </row>
    <row r="682">
      <c r="A682" s="22"/>
      <c r="B682" s="12"/>
      <c r="C682" s="10"/>
      <c r="D682" s="12"/>
      <c r="E682" s="10"/>
      <c r="F682" s="10"/>
      <c r="G682" s="10"/>
      <c r="H682" s="10"/>
      <c r="I682" s="10"/>
      <c r="J682" s="10"/>
      <c r="K682" s="10"/>
      <c r="L682" s="10"/>
    </row>
    <row r="683">
      <c r="A683" s="22"/>
      <c r="B683" s="12"/>
      <c r="C683" s="10"/>
      <c r="D683" s="12"/>
      <c r="E683" s="10"/>
      <c r="F683" s="10"/>
      <c r="G683" s="10"/>
      <c r="H683" s="10"/>
      <c r="I683" s="10"/>
      <c r="J683" s="10"/>
      <c r="K683" s="10"/>
      <c r="L683" s="10"/>
    </row>
    <row r="684">
      <c r="A684" s="22"/>
      <c r="B684" s="12"/>
      <c r="C684" s="10"/>
      <c r="D684" s="12"/>
      <c r="E684" s="10"/>
      <c r="F684" s="10"/>
      <c r="G684" s="10"/>
      <c r="H684" s="10"/>
      <c r="I684" s="10"/>
      <c r="J684" s="10"/>
      <c r="K684" s="10"/>
      <c r="L684" s="10"/>
    </row>
    <row r="685">
      <c r="A685" s="22"/>
      <c r="B685" s="12"/>
      <c r="C685" s="10"/>
      <c r="D685" s="12"/>
      <c r="E685" s="10"/>
      <c r="F685" s="10"/>
      <c r="G685" s="10"/>
      <c r="H685" s="10"/>
      <c r="I685" s="10"/>
      <c r="J685" s="10"/>
      <c r="K685" s="10"/>
      <c r="L685" s="10"/>
    </row>
    <row r="686">
      <c r="A686" s="22"/>
      <c r="B686" s="12"/>
      <c r="C686" s="10"/>
      <c r="D686" s="12"/>
      <c r="E686" s="10"/>
      <c r="F686" s="10"/>
      <c r="G686" s="10"/>
      <c r="H686" s="10"/>
      <c r="I686" s="10"/>
      <c r="J686" s="10"/>
      <c r="K686" s="10"/>
      <c r="L686" s="10"/>
    </row>
    <row r="687">
      <c r="A687" s="22"/>
      <c r="B687" s="12"/>
      <c r="C687" s="10"/>
      <c r="D687" s="12"/>
      <c r="E687" s="10"/>
      <c r="F687" s="10"/>
      <c r="G687" s="10"/>
      <c r="H687" s="10"/>
      <c r="I687" s="10"/>
      <c r="J687" s="10"/>
      <c r="K687" s="10"/>
      <c r="L687" s="10"/>
    </row>
    <row r="688">
      <c r="A688" s="22"/>
      <c r="B688" s="12"/>
      <c r="C688" s="10"/>
      <c r="D688" s="12"/>
      <c r="E688" s="10"/>
      <c r="F688" s="10"/>
      <c r="G688" s="10"/>
      <c r="H688" s="10"/>
      <c r="I688" s="10"/>
      <c r="J688" s="10"/>
      <c r="K688" s="10"/>
      <c r="L688" s="10"/>
    </row>
    <row r="689">
      <c r="A689" s="22"/>
      <c r="B689" s="12"/>
      <c r="C689" s="10"/>
      <c r="D689" s="12"/>
      <c r="E689" s="10"/>
      <c r="F689" s="10"/>
      <c r="G689" s="10"/>
      <c r="H689" s="10"/>
      <c r="I689" s="10"/>
      <c r="J689" s="10"/>
      <c r="K689" s="10"/>
      <c r="L689" s="10"/>
    </row>
    <row r="690">
      <c r="A690" s="22"/>
      <c r="B690" s="12"/>
      <c r="C690" s="10"/>
      <c r="D690" s="12"/>
      <c r="E690" s="10"/>
      <c r="F690" s="10"/>
      <c r="G690" s="10"/>
      <c r="H690" s="10"/>
      <c r="I690" s="10"/>
      <c r="J690" s="10"/>
      <c r="K690" s="10"/>
      <c r="L690" s="10"/>
    </row>
    <row r="691">
      <c r="A691" s="22"/>
      <c r="B691" s="12"/>
      <c r="C691" s="10"/>
      <c r="D691" s="12"/>
      <c r="E691" s="10"/>
      <c r="F691" s="10"/>
      <c r="G691" s="10"/>
      <c r="H691" s="10"/>
      <c r="I691" s="10"/>
      <c r="J691" s="10"/>
      <c r="K691" s="10"/>
      <c r="L691" s="10"/>
    </row>
    <row r="692">
      <c r="A692" s="22"/>
      <c r="B692" s="12"/>
      <c r="C692" s="10"/>
      <c r="D692" s="12"/>
      <c r="E692" s="10"/>
      <c r="F692" s="10"/>
      <c r="G692" s="10"/>
      <c r="H692" s="10"/>
      <c r="I692" s="10"/>
      <c r="J692" s="10"/>
      <c r="K692" s="10"/>
      <c r="L692" s="10"/>
    </row>
    <row r="693">
      <c r="A693" s="22"/>
      <c r="B693" s="12"/>
      <c r="C693" s="10"/>
      <c r="D693" s="12"/>
      <c r="E693" s="10"/>
      <c r="F693" s="10"/>
      <c r="G693" s="10"/>
      <c r="H693" s="10"/>
      <c r="I693" s="10"/>
      <c r="J693" s="10"/>
      <c r="K693" s="10"/>
      <c r="L693" s="10"/>
    </row>
    <row r="694">
      <c r="A694" s="22"/>
      <c r="B694" s="12"/>
      <c r="C694" s="10"/>
      <c r="D694" s="12"/>
      <c r="E694" s="10"/>
      <c r="F694" s="10"/>
      <c r="G694" s="10"/>
      <c r="H694" s="10"/>
      <c r="I694" s="10"/>
      <c r="J694" s="10"/>
      <c r="K694" s="10"/>
      <c r="L694" s="10"/>
    </row>
    <row r="695">
      <c r="A695" s="22"/>
      <c r="B695" s="12"/>
      <c r="C695" s="10"/>
      <c r="D695" s="12"/>
      <c r="E695" s="10"/>
      <c r="F695" s="10"/>
      <c r="G695" s="10"/>
      <c r="H695" s="10"/>
      <c r="I695" s="10"/>
      <c r="J695" s="10"/>
      <c r="K695" s="10"/>
      <c r="L695" s="10"/>
    </row>
    <row r="696">
      <c r="A696" s="22"/>
      <c r="B696" s="12"/>
      <c r="C696" s="10"/>
      <c r="D696" s="12"/>
      <c r="E696" s="10"/>
      <c r="F696" s="10"/>
      <c r="G696" s="10"/>
      <c r="H696" s="10"/>
      <c r="I696" s="10"/>
      <c r="J696" s="10"/>
      <c r="K696" s="10"/>
      <c r="L696" s="10"/>
    </row>
    <row r="697">
      <c r="A697" s="22"/>
      <c r="B697" s="12"/>
      <c r="C697" s="10"/>
      <c r="D697" s="12"/>
      <c r="E697" s="10"/>
      <c r="F697" s="10"/>
      <c r="G697" s="10"/>
      <c r="H697" s="10"/>
      <c r="I697" s="10"/>
      <c r="J697" s="10"/>
      <c r="K697" s="10"/>
      <c r="L697" s="10"/>
    </row>
    <row r="698">
      <c r="A698" s="22"/>
      <c r="B698" s="12"/>
      <c r="C698" s="10"/>
      <c r="D698" s="12"/>
      <c r="E698" s="10"/>
      <c r="F698" s="10"/>
      <c r="G698" s="10"/>
      <c r="H698" s="10"/>
      <c r="I698" s="10"/>
      <c r="J698" s="10"/>
      <c r="K698" s="10"/>
      <c r="L698" s="10"/>
    </row>
    <row r="699">
      <c r="A699" s="22"/>
      <c r="B699" s="12"/>
      <c r="C699" s="10"/>
      <c r="D699" s="12"/>
      <c r="E699" s="10"/>
      <c r="F699" s="10"/>
      <c r="G699" s="10"/>
      <c r="H699" s="10"/>
      <c r="I699" s="10"/>
      <c r="J699" s="10"/>
      <c r="K699" s="10"/>
      <c r="L699" s="10"/>
    </row>
    <row r="700">
      <c r="A700" s="22"/>
      <c r="B700" s="12"/>
      <c r="C700" s="10"/>
      <c r="D700" s="12"/>
      <c r="E700" s="10"/>
      <c r="F700" s="10"/>
      <c r="G700" s="10"/>
      <c r="H700" s="10"/>
      <c r="I700" s="10"/>
      <c r="J700" s="10"/>
      <c r="K700" s="10"/>
      <c r="L700" s="10"/>
    </row>
    <row r="701">
      <c r="A701" s="22"/>
      <c r="B701" s="12"/>
      <c r="C701" s="10"/>
      <c r="D701" s="12"/>
      <c r="E701" s="10"/>
      <c r="F701" s="10"/>
      <c r="G701" s="10"/>
      <c r="H701" s="10"/>
      <c r="I701" s="10"/>
      <c r="J701" s="10"/>
      <c r="K701" s="10"/>
      <c r="L701" s="10"/>
    </row>
    <row r="702">
      <c r="A702" s="22"/>
      <c r="B702" s="12"/>
      <c r="C702" s="10"/>
      <c r="D702" s="12"/>
      <c r="E702" s="10"/>
      <c r="F702" s="10"/>
      <c r="G702" s="10"/>
      <c r="H702" s="10"/>
      <c r="I702" s="10"/>
      <c r="J702" s="10"/>
      <c r="K702" s="10"/>
      <c r="L702" s="10"/>
    </row>
    <row r="703">
      <c r="A703" s="22"/>
      <c r="B703" s="12"/>
      <c r="C703" s="10"/>
      <c r="D703" s="12"/>
      <c r="E703" s="10"/>
      <c r="F703" s="10"/>
      <c r="G703" s="10"/>
      <c r="H703" s="10"/>
      <c r="I703" s="10"/>
      <c r="J703" s="10"/>
      <c r="K703" s="10"/>
      <c r="L703" s="10"/>
    </row>
    <row r="704">
      <c r="A704" s="22"/>
      <c r="B704" s="12"/>
      <c r="C704" s="10"/>
      <c r="D704" s="12"/>
      <c r="E704" s="10"/>
      <c r="F704" s="10"/>
      <c r="G704" s="10"/>
      <c r="H704" s="10"/>
      <c r="I704" s="10"/>
      <c r="J704" s="10"/>
      <c r="K704" s="10"/>
      <c r="L704" s="10"/>
    </row>
    <row r="705">
      <c r="A705" s="22"/>
      <c r="B705" s="12"/>
      <c r="C705" s="10"/>
      <c r="D705" s="12"/>
      <c r="E705" s="10"/>
      <c r="F705" s="10"/>
      <c r="G705" s="10"/>
      <c r="H705" s="10"/>
      <c r="I705" s="10"/>
      <c r="J705" s="10"/>
      <c r="K705" s="10"/>
      <c r="L705" s="10"/>
    </row>
    <row r="706">
      <c r="A706" s="22"/>
      <c r="B706" s="12"/>
      <c r="C706" s="10"/>
      <c r="D706" s="12"/>
      <c r="E706" s="10"/>
      <c r="F706" s="10"/>
      <c r="G706" s="10"/>
      <c r="H706" s="10"/>
      <c r="I706" s="10"/>
      <c r="J706" s="10"/>
      <c r="K706" s="10"/>
      <c r="L706" s="10"/>
    </row>
    <row r="707">
      <c r="A707" s="22"/>
      <c r="B707" s="12"/>
      <c r="C707" s="10"/>
      <c r="D707" s="12"/>
      <c r="E707" s="10"/>
      <c r="F707" s="10"/>
      <c r="G707" s="10"/>
      <c r="H707" s="10"/>
      <c r="I707" s="10"/>
      <c r="J707" s="10"/>
      <c r="K707" s="10"/>
      <c r="L707" s="10"/>
    </row>
    <row r="708">
      <c r="A708" s="22"/>
      <c r="B708" s="12"/>
      <c r="C708" s="10"/>
      <c r="D708" s="12"/>
      <c r="E708" s="10"/>
      <c r="F708" s="10"/>
      <c r="G708" s="10"/>
      <c r="H708" s="10"/>
      <c r="I708" s="10"/>
      <c r="J708" s="10"/>
      <c r="K708" s="10"/>
      <c r="L708" s="10"/>
    </row>
    <row r="709">
      <c r="A709" s="22"/>
      <c r="B709" s="12"/>
      <c r="C709" s="10"/>
      <c r="D709" s="12"/>
      <c r="E709" s="10"/>
      <c r="F709" s="10"/>
      <c r="G709" s="10"/>
      <c r="H709" s="10"/>
      <c r="I709" s="10"/>
      <c r="J709" s="10"/>
      <c r="K709" s="10"/>
      <c r="L709" s="10"/>
    </row>
    <row r="710">
      <c r="A710" s="22"/>
      <c r="B710" s="12"/>
      <c r="C710" s="10"/>
      <c r="D710" s="12"/>
      <c r="E710" s="10"/>
      <c r="F710" s="10"/>
      <c r="G710" s="10"/>
      <c r="H710" s="10"/>
      <c r="I710" s="10"/>
      <c r="J710" s="10"/>
      <c r="K710" s="10"/>
      <c r="L710" s="10"/>
    </row>
    <row r="711">
      <c r="A711" s="22"/>
      <c r="B711" s="12"/>
      <c r="C711" s="10"/>
      <c r="D711" s="12"/>
      <c r="E711" s="10"/>
      <c r="F711" s="10"/>
      <c r="G711" s="10"/>
      <c r="H711" s="10"/>
      <c r="I711" s="10"/>
      <c r="J711" s="10"/>
      <c r="K711" s="10"/>
      <c r="L711" s="10"/>
    </row>
    <row r="712">
      <c r="A712" s="22"/>
      <c r="B712" s="12"/>
      <c r="C712" s="10"/>
      <c r="D712" s="12"/>
      <c r="E712" s="10"/>
      <c r="F712" s="10"/>
      <c r="G712" s="10"/>
      <c r="H712" s="10"/>
      <c r="I712" s="10"/>
      <c r="J712" s="10"/>
      <c r="K712" s="10"/>
      <c r="L712" s="10"/>
    </row>
    <row r="713">
      <c r="A713" s="22"/>
      <c r="B713" s="12"/>
      <c r="C713" s="10"/>
      <c r="D713" s="12"/>
      <c r="E713" s="10"/>
      <c r="F713" s="10"/>
      <c r="G713" s="10"/>
      <c r="H713" s="10"/>
      <c r="I713" s="10"/>
      <c r="J713" s="10"/>
      <c r="K713" s="10"/>
      <c r="L713" s="10"/>
    </row>
    <row r="714">
      <c r="A714" s="22"/>
      <c r="B714" s="12"/>
      <c r="C714" s="10"/>
      <c r="D714" s="12"/>
      <c r="E714" s="10"/>
      <c r="F714" s="10"/>
      <c r="G714" s="10"/>
      <c r="H714" s="10"/>
      <c r="I714" s="10"/>
      <c r="J714" s="10"/>
      <c r="K714" s="10"/>
      <c r="L714" s="10"/>
    </row>
    <row r="715">
      <c r="A715" s="22"/>
      <c r="B715" s="12"/>
      <c r="C715" s="10"/>
      <c r="D715" s="12"/>
      <c r="E715" s="10"/>
      <c r="F715" s="10"/>
      <c r="G715" s="10"/>
      <c r="H715" s="10"/>
      <c r="I715" s="10"/>
      <c r="J715" s="10"/>
      <c r="K715" s="10"/>
      <c r="L715" s="10"/>
    </row>
    <row r="716">
      <c r="A716" s="22"/>
      <c r="B716" s="12"/>
      <c r="C716" s="10"/>
      <c r="D716" s="12"/>
      <c r="E716" s="10"/>
      <c r="F716" s="10"/>
      <c r="G716" s="10"/>
      <c r="H716" s="10"/>
      <c r="I716" s="10"/>
      <c r="J716" s="10"/>
      <c r="K716" s="10"/>
      <c r="L716" s="10"/>
    </row>
    <row r="717">
      <c r="A717" s="22"/>
      <c r="B717" s="12"/>
      <c r="C717" s="10"/>
      <c r="D717" s="12"/>
      <c r="E717" s="10"/>
      <c r="F717" s="10"/>
      <c r="G717" s="10"/>
      <c r="H717" s="10"/>
      <c r="I717" s="10"/>
      <c r="J717" s="10"/>
      <c r="K717" s="10"/>
      <c r="L717" s="10"/>
    </row>
    <row r="718">
      <c r="A718" s="22"/>
      <c r="B718" s="12"/>
      <c r="C718" s="10"/>
      <c r="D718" s="12"/>
      <c r="E718" s="10"/>
      <c r="F718" s="10"/>
      <c r="G718" s="10"/>
      <c r="H718" s="10"/>
      <c r="I718" s="10"/>
      <c r="J718" s="10"/>
      <c r="K718" s="10"/>
      <c r="L718" s="10"/>
    </row>
    <row r="719">
      <c r="A719" s="22"/>
      <c r="B719" s="12"/>
      <c r="C719" s="10"/>
      <c r="D719" s="12"/>
      <c r="E719" s="10"/>
      <c r="F719" s="10"/>
      <c r="G719" s="10"/>
      <c r="H719" s="10"/>
      <c r="I719" s="10"/>
      <c r="J719" s="10"/>
      <c r="K719" s="10"/>
      <c r="L719" s="10"/>
    </row>
    <row r="720">
      <c r="A720" s="22"/>
      <c r="B720" s="12"/>
      <c r="C720" s="10"/>
      <c r="D720" s="12"/>
      <c r="E720" s="10"/>
      <c r="F720" s="10"/>
      <c r="G720" s="10"/>
      <c r="H720" s="10"/>
      <c r="I720" s="10"/>
      <c r="J720" s="10"/>
      <c r="K720" s="10"/>
      <c r="L720" s="10"/>
    </row>
    <row r="721">
      <c r="A721" s="22"/>
      <c r="B721" s="12"/>
      <c r="C721" s="10"/>
      <c r="D721" s="12"/>
      <c r="E721" s="10"/>
      <c r="F721" s="10"/>
      <c r="G721" s="10"/>
      <c r="H721" s="10"/>
      <c r="I721" s="10"/>
      <c r="J721" s="10"/>
      <c r="K721" s="10"/>
      <c r="L721" s="10"/>
    </row>
    <row r="722">
      <c r="A722" s="22"/>
      <c r="B722" s="12"/>
      <c r="C722" s="10"/>
      <c r="D722" s="12"/>
      <c r="E722" s="10"/>
      <c r="F722" s="10"/>
      <c r="G722" s="10"/>
      <c r="H722" s="10"/>
      <c r="I722" s="10"/>
      <c r="J722" s="10"/>
      <c r="K722" s="10"/>
      <c r="L722" s="10"/>
    </row>
    <row r="723">
      <c r="A723" s="22"/>
      <c r="B723" s="12"/>
      <c r="C723" s="10"/>
      <c r="D723" s="12"/>
      <c r="E723" s="10"/>
      <c r="F723" s="10"/>
      <c r="G723" s="10"/>
      <c r="H723" s="10"/>
      <c r="I723" s="10"/>
      <c r="J723" s="10"/>
      <c r="K723" s="10"/>
      <c r="L723" s="10"/>
    </row>
    <row r="724">
      <c r="A724" s="22"/>
      <c r="B724" s="12"/>
      <c r="C724" s="10"/>
      <c r="D724" s="12"/>
      <c r="E724" s="10"/>
      <c r="F724" s="10"/>
      <c r="G724" s="10"/>
      <c r="H724" s="10"/>
      <c r="I724" s="10"/>
      <c r="J724" s="10"/>
      <c r="K724" s="10"/>
      <c r="L724" s="10"/>
    </row>
    <row r="725">
      <c r="A725" s="22"/>
      <c r="B725" s="12"/>
      <c r="C725" s="10"/>
      <c r="D725" s="12"/>
      <c r="E725" s="10"/>
      <c r="F725" s="10"/>
      <c r="G725" s="10"/>
      <c r="H725" s="10"/>
      <c r="I725" s="10"/>
      <c r="J725" s="10"/>
      <c r="K725" s="10"/>
      <c r="L725" s="10"/>
    </row>
    <row r="726">
      <c r="A726" s="22"/>
      <c r="B726" s="12"/>
      <c r="C726" s="10"/>
      <c r="D726" s="12"/>
      <c r="E726" s="10"/>
      <c r="F726" s="10"/>
      <c r="G726" s="10"/>
      <c r="H726" s="10"/>
      <c r="I726" s="10"/>
      <c r="J726" s="10"/>
      <c r="K726" s="10"/>
      <c r="L726" s="10"/>
    </row>
    <row r="727">
      <c r="A727" s="22"/>
      <c r="B727" s="12"/>
      <c r="C727" s="10"/>
      <c r="D727" s="12"/>
      <c r="E727" s="10"/>
      <c r="F727" s="10"/>
      <c r="G727" s="10"/>
      <c r="H727" s="10"/>
      <c r="I727" s="10"/>
      <c r="J727" s="10"/>
      <c r="K727" s="10"/>
      <c r="L727" s="10"/>
    </row>
    <row r="728">
      <c r="A728" s="22"/>
      <c r="B728" s="12"/>
      <c r="C728" s="10"/>
      <c r="D728" s="12"/>
      <c r="E728" s="10"/>
      <c r="F728" s="10"/>
      <c r="G728" s="10"/>
      <c r="H728" s="10"/>
      <c r="I728" s="10"/>
      <c r="J728" s="10"/>
      <c r="K728" s="10"/>
      <c r="L728" s="10"/>
    </row>
    <row r="729">
      <c r="A729" s="22"/>
      <c r="B729" s="12"/>
      <c r="C729" s="10"/>
      <c r="D729" s="12"/>
      <c r="E729" s="10"/>
      <c r="F729" s="10"/>
      <c r="G729" s="10"/>
      <c r="H729" s="10"/>
      <c r="I729" s="10"/>
      <c r="J729" s="10"/>
      <c r="K729" s="10"/>
      <c r="L729" s="10"/>
    </row>
    <row r="730">
      <c r="A730" s="22"/>
      <c r="B730" s="12"/>
      <c r="C730" s="10"/>
      <c r="D730" s="12"/>
      <c r="E730" s="10"/>
      <c r="F730" s="10"/>
      <c r="G730" s="10"/>
      <c r="H730" s="10"/>
      <c r="I730" s="10"/>
      <c r="J730" s="10"/>
      <c r="K730" s="10"/>
      <c r="L730" s="10"/>
    </row>
    <row r="731">
      <c r="A731" s="22"/>
      <c r="B731" s="12"/>
      <c r="C731" s="10"/>
      <c r="D731" s="12"/>
      <c r="E731" s="10"/>
      <c r="F731" s="10"/>
      <c r="G731" s="10"/>
      <c r="H731" s="10"/>
      <c r="I731" s="10"/>
      <c r="J731" s="10"/>
      <c r="K731" s="10"/>
      <c r="L731" s="10"/>
    </row>
    <row r="732">
      <c r="A732" s="22"/>
      <c r="B732" s="12"/>
      <c r="C732" s="10"/>
      <c r="D732" s="12"/>
      <c r="E732" s="10"/>
      <c r="F732" s="10"/>
      <c r="G732" s="10"/>
      <c r="H732" s="10"/>
      <c r="I732" s="10"/>
      <c r="J732" s="10"/>
      <c r="K732" s="10"/>
      <c r="L732" s="10"/>
    </row>
    <row r="733">
      <c r="A733" s="22"/>
      <c r="B733" s="12"/>
      <c r="C733" s="10"/>
      <c r="D733" s="12"/>
      <c r="E733" s="10"/>
      <c r="F733" s="10"/>
      <c r="G733" s="10"/>
      <c r="H733" s="10"/>
      <c r="I733" s="10"/>
      <c r="J733" s="10"/>
      <c r="K733" s="10"/>
      <c r="L733" s="10"/>
    </row>
    <row r="734">
      <c r="A734" s="22"/>
      <c r="B734" s="12"/>
      <c r="C734" s="10"/>
      <c r="D734" s="12"/>
      <c r="E734" s="10"/>
      <c r="F734" s="10"/>
      <c r="G734" s="10"/>
      <c r="H734" s="10"/>
      <c r="I734" s="10"/>
      <c r="J734" s="10"/>
      <c r="K734" s="10"/>
      <c r="L734" s="10"/>
    </row>
    <row r="735">
      <c r="A735" s="22"/>
      <c r="B735" s="12"/>
      <c r="C735" s="10"/>
      <c r="D735" s="12"/>
      <c r="E735" s="10"/>
      <c r="F735" s="10"/>
      <c r="G735" s="10"/>
      <c r="H735" s="10"/>
      <c r="I735" s="10"/>
      <c r="J735" s="10"/>
      <c r="K735" s="10"/>
      <c r="L735" s="10"/>
    </row>
    <row r="736">
      <c r="A736" s="22"/>
      <c r="B736" s="12"/>
      <c r="C736" s="10"/>
      <c r="D736" s="12"/>
      <c r="E736" s="10"/>
      <c r="F736" s="10"/>
      <c r="G736" s="10"/>
      <c r="H736" s="10"/>
      <c r="I736" s="10"/>
      <c r="J736" s="10"/>
      <c r="K736" s="10"/>
      <c r="L736" s="10"/>
    </row>
    <row r="737">
      <c r="A737" s="22"/>
      <c r="B737" s="12"/>
      <c r="C737" s="10"/>
      <c r="D737" s="12"/>
      <c r="E737" s="10"/>
      <c r="F737" s="10"/>
      <c r="G737" s="10"/>
      <c r="H737" s="10"/>
      <c r="I737" s="10"/>
      <c r="J737" s="10"/>
      <c r="K737" s="10"/>
      <c r="L737" s="10"/>
    </row>
    <row r="738">
      <c r="A738" s="22"/>
      <c r="B738" s="12"/>
      <c r="C738" s="10"/>
      <c r="D738" s="12"/>
      <c r="E738" s="10"/>
      <c r="F738" s="10"/>
      <c r="G738" s="10"/>
      <c r="H738" s="10"/>
      <c r="I738" s="10"/>
      <c r="J738" s="10"/>
      <c r="K738" s="10"/>
      <c r="L738" s="10"/>
    </row>
    <row r="739">
      <c r="A739" s="22"/>
      <c r="B739" s="12"/>
      <c r="C739" s="10"/>
      <c r="D739" s="12"/>
      <c r="E739" s="10"/>
      <c r="F739" s="10"/>
      <c r="G739" s="10"/>
      <c r="H739" s="10"/>
      <c r="I739" s="10"/>
      <c r="J739" s="10"/>
      <c r="K739" s="10"/>
      <c r="L739" s="10"/>
    </row>
    <row r="740">
      <c r="A740" s="22"/>
      <c r="B740" s="12"/>
      <c r="C740" s="10"/>
      <c r="D740" s="12"/>
      <c r="E740" s="10"/>
      <c r="F740" s="10"/>
      <c r="G740" s="10"/>
      <c r="H740" s="10"/>
      <c r="I740" s="10"/>
      <c r="J740" s="10"/>
      <c r="K740" s="10"/>
      <c r="L740" s="10"/>
    </row>
    <row r="741">
      <c r="A741" s="22"/>
      <c r="B741" s="12"/>
      <c r="C741" s="10"/>
      <c r="D741" s="12"/>
      <c r="E741" s="10"/>
      <c r="F741" s="10"/>
      <c r="G741" s="10"/>
      <c r="H741" s="10"/>
      <c r="I741" s="10"/>
      <c r="J741" s="10"/>
      <c r="K741" s="10"/>
      <c r="L741" s="10"/>
    </row>
    <row r="742">
      <c r="A742" s="22"/>
      <c r="B742" s="12"/>
      <c r="C742" s="10"/>
      <c r="D742" s="12"/>
      <c r="E742" s="10"/>
      <c r="F742" s="10"/>
      <c r="G742" s="10"/>
      <c r="H742" s="10"/>
      <c r="I742" s="10"/>
      <c r="J742" s="10"/>
      <c r="K742" s="10"/>
      <c r="L742" s="10"/>
    </row>
    <row r="743">
      <c r="A743" s="22"/>
      <c r="B743" s="12"/>
      <c r="C743" s="10"/>
      <c r="D743" s="12"/>
      <c r="E743" s="10"/>
      <c r="F743" s="10"/>
      <c r="G743" s="10"/>
      <c r="H743" s="10"/>
      <c r="I743" s="10"/>
      <c r="J743" s="10"/>
      <c r="K743" s="10"/>
      <c r="L743" s="10"/>
    </row>
    <row r="744">
      <c r="A744" s="22"/>
      <c r="B744" s="12"/>
      <c r="C744" s="10"/>
      <c r="D744" s="12"/>
      <c r="E744" s="10"/>
      <c r="F744" s="10"/>
      <c r="G744" s="10"/>
      <c r="H744" s="10"/>
      <c r="I744" s="10"/>
      <c r="J744" s="10"/>
      <c r="K744" s="10"/>
      <c r="L744" s="10"/>
    </row>
    <row r="745">
      <c r="A745" s="22"/>
      <c r="B745" s="12"/>
      <c r="C745" s="10"/>
      <c r="D745" s="12"/>
      <c r="E745" s="10"/>
      <c r="F745" s="10"/>
      <c r="G745" s="10"/>
      <c r="H745" s="10"/>
      <c r="I745" s="10"/>
      <c r="J745" s="10"/>
      <c r="K745" s="10"/>
      <c r="L745" s="10"/>
    </row>
    <row r="746">
      <c r="A746" s="22"/>
      <c r="B746" s="12"/>
      <c r="C746" s="10"/>
      <c r="D746" s="12"/>
      <c r="E746" s="10"/>
      <c r="F746" s="10"/>
      <c r="G746" s="10"/>
      <c r="H746" s="10"/>
      <c r="I746" s="10"/>
      <c r="J746" s="10"/>
      <c r="K746" s="10"/>
      <c r="L746" s="10"/>
    </row>
    <row r="747">
      <c r="A747" s="22"/>
      <c r="B747" s="12"/>
      <c r="C747" s="10"/>
      <c r="D747" s="12"/>
      <c r="E747" s="10"/>
      <c r="F747" s="10"/>
      <c r="G747" s="10"/>
      <c r="H747" s="10"/>
      <c r="I747" s="10"/>
      <c r="J747" s="10"/>
      <c r="K747" s="10"/>
      <c r="L747" s="10"/>
    </row>
    <row r="748">
      <c r="A748" s="22"/>
      <c r="B748" s="12"/>
      <c r="C748" s="10"/>
      <c r="D748" s="12"/>
      <c r="E748" s="10"/>
      <c r="F748" s="10"/>
      <c r="G748" s="10"/>
      <c r="H748" s="10"/>
      <c r="I748" s="10"/>
      <c r="J748" s="10"/>
      <c r="K748" s="10"/>
      <c r="L748" s="10"/>
    </row>
    <row r="749">
      <c r="A749" s="22"/>
      <c r="B749" s="12"/>
      <c r="C749" s="10"/>
      <c r="D749" s="12"/>
      <c r="E749" s="10"/>
      <c r="F749" s="10"/>
      <c r="G749" s="10"/>
      <c r="H749" s="10"/>
      <c r="I749" s="10"/>
      <c r="J749" s="10"/>
      <c r="K749" s="10"/>
      <c r="L749" s="10"/>
    </row>
    <row r="750">
      <c r="A750" s="22"/>
      <c r="B750" s="12"/>
      <c r="C750" s="10"/>
      <c r="D750" s="12"/>
      <c r="E750" s="10"/>
      <c r="F750" s="10"/>
      <c r="G750" s="10"/>
      <c r="H750" s="10"/>
      <c r="I750" s="10"/>
      <c r="J750" s="10"/>
      <c r="K750" s="10"/>
      <c r="L750" s="10"/>
    </row>
    <row r="751">
      <c r="A751" s="22"/>
      <c r="B751" s="12"/>
      <c r="C751" s="10"/>
      <c r="D751" s="12"/>
      <c r="E751" s="10"/>
      <c r="F751" s="10"/>
      <c r="G751" s="10"/>
      <c r="H751" s="10"/>
      <c r="I751" s="10"/>
      <c r="J751" s="10"/>
      <c r="K751" s="10"/>
      <c r="L751" s="10"/>
    </row>
    <row r="752">
      <c r="A752" s="22"/>
      <c r="B752" s="12"/>
      <c r="C752" s="10"/>
      <c r="D752" s="12"/>
      <c r="E752" s="10"/>
      <c r="F752" s="10"/>
      <c r="G752" s="10"/>
      <c r="H752" s="10"/>
      <c r="I752" s="10"/>
      <c r="J752" s="10"/>
      <c r="K752" s="10"/>
      <c r="L752" s="10"/>
    </row>
    <row r="753">
      <c r="A753" s="22"/>
      <c r="B753" s="12"/>
      <c r="C753" s="10"/>
      <c r="D753" s="12"/>
      <c r="E753" s="10"/>
      <c r="F753" s="10"/>
      <c r="G753" s="10"/>
      <c r="H753" s="10"/>
      <c r="I753" s="10"/>
      <c r="J753" s="10"/>
      <c r="K753" s="10"/>
      <c r="L753" s="10"/>
    </row>
    <row r="754">
      <c r="A754" s="22"/>
      <c r="B754" s="12"/>
      <c r="C754" s="10"/>
      <c r="D754" s="12"/>
      <c r="E754" s="10"/>
      <c r="F754" s="10"/>
      <c r="G754" s="10"/>
      <c r="H754" s="10"/>
      <c r="I754" s="10"/>
      <c r="J754" s="10"/>
      <c r="K754" s="10"/>
      <c r="L754" s="10"/>
    </row>
    <row r="755">
      <c r="A755" s="22"/>
      <c r="B755" s="12"/>
      <c r="C755" s="10"/>
      <c r="D755" s="12"/>
      <c r="E755" s="10"/>
      <c r="F755" s="10"/>
      <c r="G755" s="10"/>
      <c r="H755" s="10"/>
      <c r="I755" s="10"/>
      <c r="J755" s="10"/>
      <c r="K755" s="10"/>
      <c r="L755" s="10"/>
    </row>
    <row r="756">
      <c r="A756" s="22"/>
      <c r="B756" s="12"/>
      <c r="C756" s="10"/>
      <c r="D756" s="12"/>
      <c r="E756" s="10"/>
      <c r="F756" s="10"/>
      <c r="G756" s="10"/>
      <c r="H756" s="10"/>
      <c r="I756" s="10"/>
      <c r="J756" s="10"/>
      <c r="K756" s="10"/>
      <c r="L756" s="10"/>
    </row>
    <row r="757">
      <c r="A757" s="22"/>
      <c r="B757" s="12"/>
      <c r="C757" s="10"/>
      <c r="D757" s="12"/>
      <c r="E757" s="10"/>
      <c r="F757" s="10"/>
      <c r="G757" s="10"/>
      <c r="H757" s="10"/>
      <c r="I757" s="10"/>
      <c r="J757" s="10"/>
      <c r="K757" s="10"/>
      <c r="L757" s="10"/>
    </row>
    <row r="758">
      <c r="A758" s="22"/>
      <c r="B758" s="12"/>
      <c r="C758" s="10"/>
      <c r="D758" s="12"/>
      <c r="E758" s="10"/>
      <c r="F758" s="10"/>
      <c r="G758" s="10"/>
      <c r="H758" s="10"/>
      <c r="I758" s="10"/>
      <c r="J758" s="10"/>
      <c r="K758" s="10"/>
      <c r="L758" s="10"/>
    </row>
    <row r="759">
      <c r="A759" s="22"/>
      <c r="B759" s="12"/>
      <c r="C759" s="10"/>
      <c r="D759" s="12"/>
      <c r="E759" s="10"/>
      <c r="F759" s="10"/>
      <c r="G759" s="10"/>
      <c r="H759" s="10"/>
      <c r="I759" s="10"/>
      <c r="J759" s="10"/>
      <c r="K759" s="10"/>
      <c r="L759" s="10"/>
    </row>
    <row r="760">
      <c r="A760" s="22"/>
      <c r="B760" s="12"/>
      <c r="C760" s="10"/>
      <c r="D760" s="12"/>
      <c r="E760" s="10"/>
      <c r="F760" s="10"/>
      <c r="G760" s="10"/>
      <c r="H760" s="10"/>
      <c r="I760" s="10"/>
      <c r="J760" s="10"/>
      <c r="K760" s="10"/>
      <c r="L760" s="10"/>
    </row>
    <row r="761">
      <c r="A761" s="22"/>
      <c r="B761" s="12"/>
      <c r="C761" s="10"/>
      <c r="D761" s="12"/>
      <c r="E761" s="10"/>
      <c r="F761" s="10"/>
      <c r="G761" s="10"/>
      <c r="H761" s="10"/>
      <c r="I761" s="10"/>
      <c r="J761" s="10"/>
      <c r="K761" s="10"/>
      <c r="L761" s="10"/>
    </row>
    <row r="762">
      <c r="A762" s="22"/>
      <c r="B762" s="12"/>
      <c r="C762" s="10"/>
      <c r="D762" s="12"/>
      <c r="E762" s="10"/>
      <c r="F762" s="10"/>
      <c r="G762" s="10"/>
      <c r="H762" s="10"/>
      <c r="I762" s="10"/>
      <c r="J762" s="10"/>
      <c r="K762" s="10"/>
      <c r="L762" s="10"/>
    </row>
    <row r="763">
      <c r="A763" s="22"/>
      <c r="B763" s="12"/>
      <c r="C763" s="10"/>
      <c r="D763" s="12"/>
      <c r="E763" s="10"/>
      <c r="F763" s="10"/>
      <c r="G763" s="10"/>
      <c r="H763" s="10"/>
      <c r="I763" s="10"/>
      <c r="J763" s="10"/>
      <c r="K763" s="10"/>
      <c r="L763" s="10"/>
    </row>
    <row r="764">
      <c r="A764" s="22"/>
      <c r="B764" s="12"/>
      <c r="C764" s="10"/>
      <c r="D764" s="12"/>
      <c r="E764" s="10"/>
      <c r="F764" s="10"/>
      <c r="G764" s="10"/>
      <c r="H764" s="10"/>
      <c r="I764" s="10"/>
      <c r="J764" s="10"/>
      <c r="K764" s="10"/>
      <c r="L764" s="10"/>
    </row>
    <row r="765">
      <c r="A765" s="22"/>
      <c r="B765" s="12"/>
      <c r="C765" s="10"/>
      <c r="D765" s="12"/>
      <c r="E765" s="10"/>
      <c r="F765" s="10"/>
      <c r="G765" s="10"/>
      <c r="H765" s="10"/>
      <c r="I765" s="10"/>
      <c r="J765" s="10"/>
      <c r="K765" s="10"/>
      <c r="L765" s="10"/>
    </row>
    <row r="766">
      <c r="A766" s="22"/>
      <c r="B766" s="12"/>
      <c r="C766" s="10"/>
      <c r="D766" s="12"/>
      <c r="E766" s="10"/>
      <c r="F766" s="10"/>
      <c r="G766" s="10"/>
      <c r="H766" s="10"/>
      <c r="I766" s="10"/>
      <c r="J766" s="10"/>
      <c r="K766" s="10"/>
      <c r="L766" s="10"/>
    </row>
    <row r="767">
      <c r="A767" s="22"/>
      <c r="B767" s="12"/>
      <c r="C767" s="10"/>
      <c r="D767" s="12"/>
      <c r="E767" s="10"/>
      <c r="F767" s="10"/>
      <c r="G767" s="10"/>
      <c r="H767" s="10"/>
      <c r="I767" s="10"/>
      <c r="J767" s="10"/>
      <c r="K767" s="10"/>
      <c r="L767" s="10"/>
    </row>
    <row r="768">
      <c r="A768" s="22"/>
      <c r="B768" s="12"/>
      <c r="C768" s="10"/>
      <c r="D768" s="12"/>
      <c r="E768" s="10"/>
      <c r="F768" s="10"/>
      <c r="G768" s="10"/>
      <c r="H768" s="10"/>
      <c r="I768" s="10"/>
      <c r="J768" s="10"/>
      <c r="K768" s="10"/>
      <c r="L768" s="10"/>
    </row>
    <row r="769">
      <c r="A769" s="22"/>
      <c r="B769" s="12"/>
      <c r="C769" s="10"/>
      <c r="D769" s="12"/>
      <c r="E769" s="10"/>
      <c r="F769" s="10"/>
      <c r="G769" s="10"/>
      <c r="H769" s="10"/>
      <c r="I769" s="10"/>
      <c r="J769" s="10"/>
      <c r="K769" s="10"/>
      <c r="L769" s="10"/>
    </row>
    <row r="770">
      <c r="A770" s="22"/>
      <c r="B770" s="12"/>
      <c r="C770" s="10"/>
      <c r="D770" s="12"/>
      <c r="E770" s="10"/>
      <c r="F770" s="10"/>
      <c r="G770" s="10"/>
      <c r="H770" s="10"/>
      <c r="I770" s="10"/>
      <c r="J770" s="10"/>
      <c r="K770" s="10"/>
      <c r="L770" s="10"/>
    </row>
    <row r="771">
      <c r="A771" s="22"/>
      <c r="B771" s="12"/>
      <c r="C771" s="10"/>
      <c r="D771" s="12"/>
      <c r="E771" s="10"/>
      <c r="F771" s="10"/>
      <c r="G771" s="10"/>
      <c r="H771" s="10"/>
      <c r="I771" s="10"/>
      <c r="J771" s="10"/>
      <c r="K771" s="10"/>
      <c r="L771" s="10"/>
    </row>
    <row r="772">
      <c r="A772" s="22"/>
      <c r="B772" s="12"/>
      <c r="C772" s="10"/>
      <c r="D772" s="12"/>
      <c r="E772" s="10"/>
      <c r="F772" s="10"/>
      <c r="G772" s="10"/>
      <c r="H772" s="10"/>
      <c r="I772" s="10"/>
      <c r="J772" s="10"/>
      <c r="K772" s="10"/>
      <c r="L772" s="10"/>
    </row>
    <row r="773">
      <c r="A773" s="22"/>
      <c r="B773" s="12"/>
      <c r="C773" s="10"/>
      <c r="D773" s="12"/>
      <c r="E773" s="10"/>
      <c r="F773" s="10"/>
      <c r="G773" s="10"/>
      <c r="H773" s="10"/>
      <c r="I773" s="10"/>
      <c r="J773" s="10"/>
      <c r="K773" s="10"/>
      <c r="L773" s="10"/>
    </row>
    <row r="774">
      <c r="A774" s="22"/>
      <c r="B774" s="12"/>
      <c r="C774" s="10"/>
      <c r="D774" s="12"/>
      <c r="E774" s="10"/>
      <c r="F774" s="10"/>
      <c r="G774" s="10"/>
      <c r="H774" s="10"/>
      <c r="I774" s="10"/>
      <c r="J774" s="10"/>
      <c r="K774" s="10"/>
      <c r="L774" s="10"/>
    </row>
    <row r="775">
      <c r="A775" s="22"/>
      <c r="B775" s="12"/>
      <c r="C775" s="10"/>
      <c r="D775" s="12"/>
      <c r="E775" s="10"/>
      <c r="F775" s="10"/>
      <c r="G775" s="10"/>
      <c r="H775" s="10"/>
      <c r="I775" s="10"/>
      <c r="J775" s="10"/>
      <c r="K775" s="10"/>
      <c r="L775" s="10"/>
    </row>
    <row r="776">
      <c r="A776" s="22"/>
      <c r="B776" s="12"/>
      <c r="C776" s="10"/>
      <c r="D776" s="12"/>
      <c r="E776" s="10"/>
      <c r="F776" s="10"/>
      <c r="G776" s="10"/>
      <c r="H776" s="10"/>
      <c r="I776" s="10"/>
      <c r="J776" s="10"/>
      <c r="K776" s="10"/>
      <c r="L776" s="10"/>
    </row>
    <row r="777">
      <c r="A777" s="22"/>
      <c r="B777" s="12"/>
      <c r="C777" s="10"/>
      <c r="D777" s="12"/>
      <c r="E777" s="10"/>
      <c r="F777" s="10"/>
      <c r="G777" s="10"/>
      <c r="H777" s="10"/>
      <c r="I777" s="10"/>
      <c r="J777" s="10"/>
      <c r="K777" s="10"/>
      <c r="L777" s="10"/>
    </row>
    <row r="778">
      <c r="A778" s="22"/>
      <c r="B778" s="12"/>
      <c r="C778" s="10"/>
      <c r="D778" s="12"/>
      <c r="E778" s="10"/>
      <c r="F778" s="10"/>
      <c r="G778" s="10"/>
      <c r="H778" s="10"/>
      <c r="I778" s="10"/>
      <c r="J778" s="10"/>
      <c r="K778" s="10"/>
      <c r="L778" s="10"/>
    </row>
    <row r="779">
      <c r="A779" s="22"/>
      <c r="B779" s="12"/>
      <c r="C779" s="10"/>
      <c r="D779" s="12"/>
      <c r="E779" s="10"/>
      <c r="F779" s="10"/>
      <c r="G779" s="10"/>
      <c r="H779" s="10"/>
      <c r="I779" s="10"/>
      <c r="J779" s="10"/>
      <c r="K779" s="10"/>
      <c r="L779" s="10"/>
    </row>
    <row r="780">
      <c r="A780" s="22"/>
      <c r="B780" s="12"/>
      <c r="C780" s="10"/>
      <c r="D780" s="12"/>
      <c r="E780" s="10"/>
      <c r="F780" s="10"/>
      <c r="G780" s="10"/>
      <c r="H780" s="10"/>
      <c r="I780" s="10"/>
      <c r="J780" s="10"/>
      <c r="K780" s="10"/>
      <c r="L780" s="10"/>
    </row>
    <row r="781">
      <c r="A781" s="22"/>
      <c r="B781" s="12"/>
      <c r="C781" s="10"/>
      <c r="D781" s="12"/>
      <c r="E781" s="10"/>
      <c r="F781" s="10"/>
      <c r="G781" s="10"/>
      <c r="H781" s="10"/>
      <c r="I781" s="10"/>
      <c r="J781" s="10"/>
      <c r="K781" s="10"/>
      <c r="L781" s="10"/>
    </row>
    <row r="782">
      <c r="A782" s="22"/>
      <c r="B782" s="12"/>
      <c r="C782" s="10"/>
      <c r="D782" s="12"/>
      <c r="E782" s="10"/>
      <c r="F782" s="10"/>
      <c r="G782" s="10"/>
      <c r="H782" s="10"/>
      <c r="I782" s="10"/>
      <c r="J782" s="10"/>
      <c r="K782" s="10"/>
      <c r="L782" s="10"/>
    </row>
    <row r="783">
      <c r="A783" s="22"/>
      <c r="B783" s="12"/>
      <c r="C783" s="10"/>
      <c r="D783" s="12"/>
      <c r="E783" s="10"/>
      <c r="F783" s="10"/>
      <c r="G783" s="10"/>
      <c r="H783" s="10"/>
      <c r="I783" s="10"/>
      <c r="J783" s="10"/>
      <c r="K783" s="10"/>
      <c r="L783" s="10"/>
    </row>
    <row r="784">
      <c r="A784" s="22"/>
      <c r="B784" s="12"/>
      <c r="C784" s="10"/>
      <c r="D784" s="12"/>
      <c r="E784" s="10"/>
      <c r="F784" s="10"/>
      <c r="G784" s="10"/>
      <c r="H784" s="10"/>
      <c r="I784" s="10"/>
      <c r="J784" s="10"/>
      <c r="K784" s="10"/>
      <c r="L784" s="10"/>
    </row>
    <row r="785">
      <c r="A785" s="22"/>
      <c r="B785" s="12"/>
      <c r="C785" s="10"/>
      <c r="D785" s="12"/>
      <c r="E785" s="10"/>
      <c r="F785" s="10"/>
      <c r="G785" s="10"/>
      <c r="H785" s="10"/>
      <c r="I785" s="10"/>
      <c r="J785" s="10"/>
      <c r="K785" s="10"/>
      <c r="L785" s="10"/>
    </row>
    <row r="786">
      <c r="A786" s="22"/>
      <c r="B786" s="12"/>
      <c r="C786" s="10"/>
      <c r="D786" s="12"/>
      <c r="E786" s="10"/>
      <c r="F786" s="10"/>
      <c r="G786" s="10"/>
      <c r="H786" s="10"/>
      <c r="I786" s="10"/>
      <c r="J786" s="10"/>
      <c r="K786" s="10"/>
      <c r="L786" s="10"/>
    </row>
    <row r="787">
      <c r="A787" s="22"/>
      <c r="B787" s="12"/>
      <c r="C787" s="10"/>
      <c r="D787" s="12"/>
      <c r="E787" s="10"/>
      <c r="F787" s="10"/>
      <c r="G787" s="10"/>
      <c r="H787" s="10"/>
      <c r="I787" s="10"/>
      <c r="J787" s="10"/>
      <c r="K787" s="10"/>
      <c r="L787" s="10"/>
    </row>
    <row r="788">
      <c r="A788" s="22"/>
      <c r="B788" s="12"/>
      <c r="C788" s="10"/>
      <c r="D788" s="12"/>
      <c r="E788" s="10"/>
      <c r="F788" s="10"/>
      <c r="G788" s="10"/>
      <c r="H788" s="10"/>
      <c r="I788" s="10"/>
      <c r="J788" s="10"/>
      <c r="K788" s="10"/>
      <c r="L788" s="10"/>
    </row>
    <row r="789">
      <c r="A789" s="22"/>
      <c r="B789" s="12"/>
      <c r="C789" s="10"/>
      <c r="D789" s="12"/>
      <c r="E789" s="10"/>
      <c r="F789" s="10"/>
      <c r="G789" s="10"/>
      <c r="H789" s="10"/>
      <c r="I789" s="10"/>
      <c r="J789" s="10"/>
      <c r="K789" s="10"/>
      <c r="L789" s="10"/>
    </row>
    <row r="790">
      <c r="A790" s="22"/>
      <c r="B790" s="12"/>
      <c r="C790" s="10"/>
      <c r="D790" s="12"/>
      <c r="E790" s="10"/>
      <c r="F790" s="10"/>
      <c r="G790" s="10"/>
      <c r="H790" s="10"/>
      <c r="I790" s="10"/>
      <c r="J790" s="10"/>
      <c r="K790" s="10"/>
      <c r="L790" s="10"/>
    </row>
    <row r="791">
      <c r="A791" s="22"/>
      <c r="B791" s="12"/>
      <c r="C791" s="10"/>
      <c r="D791" s="12"/>
      <c r="E791" s="10"/>
      <c r="F791" s="10"/>
      <c r="G791" s="10"/>
      <c r="H791" s="10"/>
      <c r="I791" s="10"/>
      <c r="J791" s="10"/>
      <c r="K791" s="10"/>
      <c r="L791" s="10"/>
    </row>
    <row r="792">
      <c r="A792" s="22"/>
      <c r="B792" s="12"/>
      <c r="C792" s="10"/>
      <c r="D792" s="12"/>
      <c r="E792" s="10"/>
      <c r="F792" s="10"/>
      <c r="G792" s="10"/>
      <c r="H792" s="10"/>
      <c r="I792" s="10"/>
      <c r="J792" s="10"/>
      <c r="K792" s="10"/>
      <c r="L792" s="10"/>
    </row>
    <row r="793">
      <c r="A793" s="22"/>
      <c r="B793" s="12"/>
      <c r="C793" s="10"/>
      <c r="D793" s="12"/>
      <c r="E793" s="10"/>
      <c r="F793" s="10"/>
      <c r="G793" s="10"/>
      <c r="H793" s="10"/>
      <c r="I793" s="10"/>
      <c r="J793" s="10"/>
      <c r="K793" s="10"/>
      <c r="L793" s="10"/>
    </row>
    <row r="794">
      <c r="A794" s="22"/>
      <c r="B794" s="12"/>
      <c r="C794" s="10"/>
      <c r="D794" s="12"/>
      <c r="E794" s="10"/>
      <c r="F794" s="10"/>
      <c r="G794" s="10"/>
      <c r="H794" s="10"/>
      <c r="I794" s="10"/>
      <c r="J794" s="10"/>
      <c r="K794" s="10"/>
      <c r="L794" s="10"/>
    </row>
    <row r="795">
      <c r="A795" s="22"/>
      <c r="B795" s="12"/>
      <c r="C795" s="10"/>
      <c r="D795" s="12"/>
      <c r="E795" s="10"/>
      <c r="F795" s="10"/>
      <c r="G795" s="10"/>
      <c r="H795" s="10"/>
      <c r="I795" s="10"/>
      <c r="J795" s="10"/>
      <c r="K795" s="10"/>
      <c r="L795" s="10"/>
    </row>
    <row r="796">
      <c r="A796" s="22"/>
      <c r="B796" s="12"/>
      <c r="C796" s="10"/>
      <c r="D796" s="12"/>
      <c r="E796" s="10"/>
      <c r="F796" s="10"/>
      <c r="G796" s="10"/>
      <c r="H796" s="10"/>
      <c r="I796" s="10"/>
      <c r="J796" s="10"/>
      <c r="K796" s="10"/>
      <c r="L796" s="10"/>
    </row>
    <row r="797">
      <c r="A797" s="22"/>
      <c r="B797" s="12"/>
      <c r="C797" s="10"/>
      <c r="D797" s="12"/>
      <c r="E797" s="10"/>
      <c r="F797" s="10"/>
      <c r="G797" s="10"/>
      <c r="H797" s="10"/>
      <c r="I797" s="10"/>
      <c r="J797" s="10"/>
      <c r="K797" s="10"/>
      <c r="L797" s="10"/>
    </row>
    <row r="798">
      <c r="A798" s="22"/>
      <c r="B798" s="12"/>
      <c r="C798" s="10"/>
      <c r="D798" s="12"/>
      <c r="E798" s="10"/>
      <c r="F798" s="10"/>
      <c r="G798" s="10"/>
      <c r="H798" s="10"/>
      <c r="I798" s="10"/>
      <c r="J798" s="10"/>
      <c r="K798" s="10"/>
      <c r="L798" s="10"/>
    </row>
    <row r="799">
      <c r="A799" s="22"/>
      <c r="B799" s="12"/>
      <c r="C799" s="10"/>
      <c r="D799" s="12"/>
      <c r="E799" s="10"/>
      <c r="F799" s="10"/>
      <c r="G799" s="10"/>
      <c r="H799" s="10"/>
      <c r="I799" s="10"/>
      <c r="J799" s="10"/>
      <c r="K799" s="10"/>
      <c r="L799" s="10"/>
    </row>
    <row r="800">
      <c r="A800" s="22"/>
      <c r="B800" s="12"/>
      <c r="C800" s="10"/>
      <c r="D800" s="12"/>
      <c r="E800" s="10"/>
      <c r="F800" s="10"/>
      <c r="G800" s="10"/>
      <c r="H800" s="10"/>
      <c r="I800" s="10"/>
      <c r="J800" s="10"/>
      <c r="K800" s="10"/>
      <c r="L800" s="10"/>
    </row>
    <row r="801">
      <c r="A801" s="22"/>
      <c r="B801" s="12"/>
      <c r="C801" s="10"/>
      <c r="D801" s="12"/>
      <c r="E801" s="10"/>
      <c r="F801" s="10"/>
      <c r="G801" s="10"/>
      <c r="H801" s="10"/>
      <c r="I801" s="10"/>
      <c r="J801" s="10"/>
      <c r="K801" s="10"/>
      <c r="L801" s="10"/>
    </row>
    <row r="802">
      <c r="A802" s="22"/>
      <c r="B802" s="12"/>
      <c r="C802" s="10"/>
      <c r="D802" s="12"/>
      <c r="E802" s="10"/>
      <c r="F802" s="10"/>
      <c r="G802" s="10"/>
      <c r="H802" s="10"/>
      <c r="I802" s="10"/>
      <c r="J802" s="10"/>
      <c r="K802" s="10"/>
      <c r="L802" s="10"/>
    </row>
    <row r="803">
      <c r="A803" s="22"/>
      <c r="B803" s="12"/>
      <c r="C803" s="10"/>
      <c r="D803" s="12"/>
      <c r="E803" s="10"/>
      <c r="F803" s="10"/>
      <c r="G803" s="10"/>
      <c r="H803" s="10"/>
      <c r="I803" s="10"/>
      <c r="J803" s="10"/>
      <c r="K803" s="10"/>
      <c r="L803" s="10"/>
    </row>
    <row r="804">
      <c r="A804" s="22"/>
      <c r="B804" s="12"/>
      <c r="C804" s="10"/>
      <c r="D804" s="12"/>
      <c r="E804" s="10"/>
      <c r="F804" s="10"/>
      <c r="G804" s="10"/>
      <c r="H804" s="10"/>
      <c r="I804" s="10"/>
      <c r="J804" s="10"/>
      <c r="K804" s="10"/>
      <c r="L804" s="10"/>
    </row>
    <row r="805">
      <c r="A805" s="22"/>
      <c r="B805" s="12"/>
      <c r="C805" s="10"/>
      <c r="D805" s="12"/>
      <c r="E805" s="10"/>
      <c r="F805" s="10"/>
      <c r="G805" s="10"/>
      <c r="H805" s="10"/>
      <c r="I805" s="10"/>
      <c r="J805" s="10"/>
      <c r="K805" s="10"/>
      <c r="L805" s="10"/>
    </row>
    <row r="806">
      <c r="A806" s="22"/>
      <c r="B806" s="12"/>
      <c r="C806" s="10"/>
      <c r="D806" s="12"/>
      <c r="E806" s="10"/>
      <c r="F806" s="10"/>
      <c r="G806" s="10"/>
      <c r="H806" s="10"/>
      <c r="I806" s="10"/>
      <c r="J806" s="10"/>
      <c r="K806" s="10"/>
      <c r="L806" s="10"/>
    </row>
    <row r="807">
      <c r="A807" s="22"/>
      <c r="B807" s="12"/>
      <c r="C807" s="10"/>
      <c r="D807" s="12"/>
      <c r="E807" s="10"/>
      <c r="F807" s="10"/>
      <c r="G807" s="10"/>
      <c r="H807" s="10"/>
      <c r="I807" s="10"/>
      <c r="J807" s="10"/>
      <c r="K807" s="10"/>
      <c r="L807" s="10"/>
    </row>
    <row r="808">
      <c r="A808" s="22"/>
      <c r="B808" s="12"/>
      <c r="C808" s="10"/>
      <c r="D808" s="12"/>
      <c r="E808" s="10"/>
      <c r="F808" s="10"/>
      <c r="G808" s="10"/>
      <c r="H808" s="10"/>
      <c r="I808" s="10"/>
      <c r="J808" s="10"/>
      <c r="K808" s="10"/>
      <c r="L808" s="10"/>
    </row>
    <row r="809">
      <c r="A809" s="22"/>
      <c r="B809" s="12"/>
      <c r="C809" s="10"/>
      <c r="D809" s="12"/>
      <c r="E809" s="10"/>
      <c r="F809" s="10"/>
      <c r="G809" s="10"/>
      <c r="H809" s="10"/>
      <c r="I809" s="10"/>
      <c r="J809" s="10"/>
      <c r="K809" s="10"/>
      <c r="L809" s="10"/>
    </row>
    <row r="810">
      <c r="A810" s="22"/>
      <c r="B810" s="12"/>
      <c r="C810" s="10"/>
      <c r="D810" s="12"/>
      <c r="E810" s="10"/>
      <c r="F810" s="10"/>
      <c r="G810" s="10"/>
      <c r="H810" s="10"/>
      <c r="I810" s="10"/>
      <c r="J810" s="10"/>
      <c r="K810" s="10"/>
      <c r="L810" s="10"/>
    </row>
    <row r="811">
      <c r="A811" s="22"/>
      <c r="B811" s="12"/>
      <c r="C811" s="10"/>
      <c r="D811" s="12"/>
      <c r="E811" s="10"/>
      <c r="F811" s="10"/>
      <c r="G811" s="10"/>
      <c r="H811" s="10"/>
      <c r="I811" s="10"/>
      <c r="J811" s="10"/>
      <c r="K811" s="10"/>
      <c r="L811" s="10"/>
    </row>
    <row r="812">
      <c r="A812" s="22"/>
      <c r="B812" s="12"/>
      <c r="C812" s="10"/>
      <c r="D812" s="12"/>
      <c r="E812" s="10"/>
      <c r="F812" s="10"/>
      <c r="G812" s="10"/>
      <c r="H812" s="10"/>
      <c r="I812" s="10"/>
      <c r="J812" s="10"/>
      <c r="K812" s="10"/>
      <c r="L812" s="10"/>
    </row>
    <row r="813">
      <c r="A813" s="22"/>
      <c r="B813" s="12"/>
      <c r="C813" s="10"/>
      <c r="D813" s="12"/>
      <c r="E813" s="10"/>
      <c r="F813" s="10"/>
      <c r="G813" s="10"/>
      <c r="H813" s="10"/>
      <c r="I813" s="10"/>
      <c r="J813" s="10"/>
      <c r="K813" s="10"/>
      <c r="L813" s="10"/>
    </row>
    <row r="814">
      <c r="A814" s="22"/>
      <c r="B814" s="12"/>
      <c r="C814" s="10"/>
      <c r="D814" s="12"/>
      <c r="E814" s="10"/>
      <c r="F814" s="10"/>
      <c r="G814" s="10"/>
      <c r="H814" s="10"/>
      <c r="I814" s="10"/>
      <c r="J814" s="10"/>
      <c r="K814" s="10"/>
      <c r="L814" s="10"/>
    </row>
    <row r="815">
      <c r="A815" s="22"/>
      <c r="B815" s="12"/>
      <c r="C815" s="10"/>
      <c r="D815" s="12"/>
      <c r="E815" s="10"/>
      <c r="F815" s="10"/>
      <c r="G815" s="10"/>
      <c r="H815" s="10"/>
      <c r="I815" s="10"/>
      <c r="J815" s="10"/>
      <c r="K815" s="10"/>
      <c r="L815" s="10"/>
    </row>
    <row r="816">
      <c r="A816" s="22"/>
      <c r="B816" s="12"/>
      <c r="C816" s="10"/>
      <c r="D816" s="12"/>
      <c r="E816" s="10"/>
      <c r="F816" s="10"/>
      <c r="G816" s="10"/>
      <c r="H816" s="10"/>
      <c r="I816" s="10"/>
      <c r="J816" s="10"/>
      <c r="K816" s="10"/>
      <c r="L816" s="10"/>
    </row>
    <row r="817">
      <c r="A817" s="22"/>
      <c r="B817" s="12"/>
      <c r="C817" s="10"/>
      <c r="D817" s="12"/>
      <c r="E817" s="10"/>
      <c r="F817" s="10"/>
      <c r="G817" s="10"/>
      <c r="H817" s="10"/>
      <c r="I817" s="10"/>
      <c r="J817" s="10"/>
      <c r="K817" s="10"/>
      <c r="L817" s="10"/>
    </row>
    <row r="818">
      <c r="A818" s="22"/>
      <c r="B818" s="12"/>
      <c r="C818" s="10"/>
      <c r="D818" s="12"/>
      <c r="E818" s="10"/>
      <c r="F818" s="10"/>
      <c r="G818" s="10"/>
      <c r="H818" s="10"/>
      <c r="I818" s="10"/>
      <c r="J818" s="10"/>
      <c r="K818" s="10"/>
      <c r="L818" s="10"/>
    </row>
    <row r="819">
      <c r="A819" s="22"/>
      <c r="B819" s="12"/>
      <c r="C819" s="10"/>
      <c r="D819" s="12"/>
      <c r="E819" s="10"/>
      <c r="F819" s="10"/>
      <c r="G819" s="10"/>
      <c r="H819" s="10"/>
      <c r="I819" s="10"/>
      <c r="J819" s="10"/>
      <c r="K819" s="10"/>
      <c r="L819" s="10"/>
    </row>
    <row r="820">
      <c r="A820" s="22"/>
      <c r="B820" s="12"/>
      <c r="C820" s="10"/>
      <c r="D820" s="12"/>
      <c r="E820" s="10"/>
      <c r="F820" s="10"/>
      <c r="G820" s="10"/>
      <c r="H820" s="10"/>
      <c r="I820" s="10"/>
      <c r="J820" s="10"/>
      <c r="K820" s="10"/>
      <c r="L820" s="10"/>
    </row>
    <row r="821">
      <c r="A821" s="22"/>
      <c r="B821" s="12"/>
      <c r="C821" s="10"/>
      <c r="D821" s="12"/>
      <c r="E821" s="10"/>
      <c r="F821" s="10"/>
      <c r="G821" s="10"/>
      <c r="H821" s="10"/>
      <c r="I821" s="10"/>
      <c r="J821" s="10"/>
      <c r="K821" s="10"/>
      <c r="L821" s="10"/>
    </row>
    <row r="822">
      <c r="A822" s="22"/>
      <c r="B822" s="12"/>
      <c r="C822" s="10"/>
      <c r="D822" s="12"/>
      <c r="E822" s="10"/>
      <c r="F822" s="10"/>
      <c r="G822" s="10"/>
      <c r="H822" s="10"/>
      <c r="I822" s="10"/>
      <c r="J822" s="10"/>
      <c r="K822" s="10"/>
      <c r="L822" s="10"/>
    </row>
    <row r="823">
      <c r="A823" s="22"/>
      <c r="B823" s="12"/>
      <c r="C823" s="10"/>
      <c r="D823" s="12"/>
      <c r="E823" s="10"/>
      <c r="F823" s="10"/>
      <c r="G823" s="10"/>
      <c r="H823" s="10"/>
      <c r="I823" s="10"/>
      <c r="J823" s="10"/>
      <c r="K823" s="10"/>
      <c r="L823" s="10"/>
    </row>
    <row r="824">
      <c r="A824" s="22"/>
      <c r="B824" s="12"/>
      <c r="C824" s="10"/>
      <c r="D824" s="12"/>
      <c r="E824" s="10"/>
      <c r="F824" s="10"/>
      <c r="G824" s="10"/>
      <c r="H824" s="10"/>
      <c r="I824" s="10"/>
      <c r="J824" s="10"/>
      <c r="K824" s="10"/>
      <c r="L824" s="10"/>
    </row>
    <row r="825">
      <c r="A825" s="22"/>
      <c r="B825" s="12"/>
      <c r="C825" s="10"/>
      <c r="D825" s="12"/>
      <c r="E825" s="10"/>
      <c r="F825" s="10"/>
      <c r="G825" s="10"/>
      <c r="H825" s="10"/>
      <c r="I825" s="10"/>
      <c r="J825" s="10"/>
      <c r="K825" s="10"/>
      <c r="L825" s="10"/>
    </row>
    <row r="826">
      <c r="A826" s="22"/>
      <c r="B826" s="12"/>
      <c r="C826" s="10"/>
      <c r="D826" s="12"/>
      <c r="E826" s="10"/>
      <c r="F826" s="10"/>
      <c r="G826" s="10"/>
      <c r="H826" s="10"/>
      <c r="I826" s="10"/>
      <c r="J826" s="10"/>
      <c r="K826" s="10"/>
      <c r="L826" s="10"/>
    </row>
    <row r="827">
      <c r="A827" s="22"/>
      <c r="B827" s="12"/>
      <c r="C827" s="10"/>
      <c r="D827" s="12"/>
      <c r="E827" s="10"/>
      <c r="F827" s="10"/>
      <c r="G827" s="10"/>
      <c r="H827" s="10"/>
      <c r="I827" s="10"/>
      <c r="J827" s="10"/>
      <c r="K827" s="10"/>
      <c r="L827" s="10"/>
    </row>
    <row r="828">
      <c r="A828" s="22"/>
      <c r="B828" s="12"/>
      <c r="C828" s="10"/>
      <c r="D828" s="12"/>
      <c r="E828" s="10"/>
      <c r="F828" s="10"/>
      <c r="G828" s="10"/>
      <c r="H828" s="10"/>
      <c r="I828" s="10"/>
      <c r="J828" s="10"/>
      <c r="K828" s="10"/>
      <c r="L828" s="10"/>
    </row>
    <row r="829">
      <c r="A829" s="22"/>
      <c r="B829" s="12"/>
      <c r="C829" s="10"/>
      <c r="D829" s="12"/>
      <c r="E829" s="10"/>
      <c r="F829" s="10"/>
      <c r="G829" s="10"/>
      <c r="H829" s="10"/>
      <c r="I829" s="10"/>
      <c r="J829" s="10"/>
      <c r="K829" s="10"/>
      <c r="L829" s="10"/>
    </row>
    <row r="830">
      <c r="A830" s="22"/>
      <c r="B830" s="12"/>
      <c r="C830" s="10"/>
      <c r="D830" s="12"/>
      <c r="E830" s="10"/>
      <c r="F830" s="10"/>
      <c r="G830" s="10"/>
      <c r="H830" s="10"/>
      <c r="I830" s="10"/>
      <c r="J830" s="10"/>
      <c r="K830" s="10"/>
      <c r="L830" s="10"/>
    </row>
    <row r="831">
      <c r="A831" s="22"/>
      <c r="B831" s="12"/>
      <c r="C831" s="10"/>
      <c r="D831" s="12"/>
      <c r="E831" s="10"/>
      <c r="F831" s="10"/>
      <c r="G831" s="10"/>
      <c r="H831" s="10"/>
      <c r="I831" s="10"/>
      <c r="J831" s="10"/>
      <c r="K831" s="10"/>
      <c r="L831" s="10"/>
    </row>
    <row r="832">
      <c r="A832" s="22"/>
      <c r="B832" s="12"/>
      <c r="C832" s="10"/>
      <c r="D832" s="12"/>
      <c r="E832" s="10"/>
      <c r="F832" s="10"/>
      <c r="G832" s="10"/>
      <c r="H832" s="10"/>
      <c r="I832" s="10"/>
      <c r="J832" s="10"/>
      <c r="K832" s="10"/>
      <c r="L832" s="10"/>
    </row>
    <row r="833">
      <c r="A833" s="22"/>
      <c r="B833" s="12"/>
      <c r="C833" s="10"/>
      <c r="D833" s="12"/>
      <c r="E833" s="10"/>
      <c r="F833" s="10"/>
      <c r="G833" s="10"/>
      <c r="H833" s="10"/>
      <c r="I833" s="10"/>
      <c r="J833" s="10"/>
      <c r="K833" s="10"/>
      <c r="L833" s="10"/>
    </row>
    <row r="834">
      <c r="A834" s="22"/>
      <c r="B834" s="12"/>
      <c r="C834" s="10"/>
      <c r="D834" s="12"/>
      <c r="E834" s="10"/>
      <c r="F834" s="10"/>
      <c r="G834" s="10"/>
      <c r="H834" s="10"/>
      <c r="I834" s="10"/>
      <c r="J834" s="10"/>
      <c r="K834" s="10"/>
      <c r="L834" s="10"/>
    </row>
    <row r="835">
      <c r="A835" s="22"/>
      <c r="B835" s="12"/>
      <c r="C835" s="10"/>
      <c r="D835" s="12"/>
      <c r="E835" s="10"/>
      <c r="F835" s="10"/>
      <c r="G835" s="10"/>
      <c r="H835" s="10"/>
      <c r="I835" s="10"/>
      <c r="J835" s="10"/>
      <c r="K835" s="10"/>
      <c r="L835" s="10"/>
    </row>
    <row r="836">
      <c r="A836" s="22"/>
      <c r="B836" s="12"/>
      <c r="C836" s="10"/>
      <c r="D836" s="12"/>
      <c r="E836" s="10"/>
      <c r="F836" s="10"/>
      <c r="G836" s="10"/>
      <c r="H836" s="10"/>
      <c r="I836" s="10"/>
      <c r="J836" s="10"/>
      <c r="K836" s="10"/>
      <c r="L836" s="10"/>
    </row>
    <row r="837">
      <c r="A837" s="22"/>
      <c r="B837" s="12"/>
      <c r="C837" s="10"/>
      <c r="D837" s="12"/>
      <c r="E837" s="10"/>
      <c r="F837" s="10"/>
      <c r="G837" s="10"/>
      <c r="H837" s="10"/>
      <c r="I837" s="10"/>
      <c r="J837" s="10"/>
      <c r="K837" s="10"/>
      <c r="L837" s="10"/>
    </row>
    <row r="838">
      <c r="A838" s="22"/>
      <c r="B838" s="12"/>
      <c r="C838" s="10"/>
      <c r="D838" s="12"/>
      <c r="E838" s="10"/>
      <c r="F838" s="10"/>
      <c r="G838" s="10"/>
      <c r="H838" s="10"/>
      <c r="I838" s="10"/>
      <c r="J838" s="10"/>
      <c r="K838" s="10"/>
      <c r="L838" s="10"/>
    </row>
    <row r="839">
      <c r="A839" s="22"/>
      <c r="B839" s="12"/>
      <c r="C839" s="10"/>
      <c r="D839" s="12"/>
      <c r="E839" s="10"/>
      <c r="F839" s="10"/>
      <c r="G839" s="10"/>
      <c r="H839" s="10"/>
      <c r="I839" s="10"/>
      <c r="J839" s="10"/>
      <c r="K839" s="10"/>
      <c r="L839" s="10"/>
    </row>
    <row r="840">
      <c r="A840" s="22"/>
      <c r="B840" s="12"/>
      <c r="C840" s="10"/>
      <c r="D840" s="12"/>
      <c r="E840" s="10"/>
      <c r="F840" s="10"/>
      <c r="G840" s="10"/>
      <c r="H840" s="10"/>
      <c r="I840" s="10"/>
      <c r="J840" s="10"/>
      <c r="K840" s="10"/>
      <c r="L840" s="10"/>
    </row>
    <row r="841">
      <c r="A841" s="22"/>
      <c r="B841" s="12"/>
      <c r="C841" s="10"/>
      <c r="D841" s="12"/>
      <c r="E841" s="10"/>
      <c r="F841" s="10"/>
      <c r="G841" s="10"/>
      <c r="H841" s="10"/>
      <c r="I841" s="10"/>
      <c r="J841" s="10"/>
      <c r="K841" s="10"/>
      <c r="L841" s="10"/>
    </row>
    <row r="842">
      <c r="A842" s="22"/>
      <c r="B842" s="12"/>
      <c r="C842" s="10"/>
      <c r="D842" s="12"/>
      <c r="E842" s="10"/>
      <c r="F842" s="10"/>
      <c r="G842" s="10"/>
      <c r="H842" s="10"/>
      <c r="I842" s="10"/>
      <c r="J842" s="10"/>
      <c r="K842" s="10"/>
      <c r="L842" s="10"/>
    </row>
    <row r="843">
      <c r="A843" s="22"/>
      <c r="B843" s="12"/>
      <c r="C843" s="10"/>
      <c r="D843" s="12"/>
      <c r="E843" s="10"/>
      <c r="F843" s="10"/>
      <c r="G843" s="10"/>
      <c r="H843" s="10"/>
      <c r="I843" s="10"/>
      <c r="J843" s="10"/>
      <c r="K843" s="10"/>
      <c r="L843" s="10"/>
    </row>
    <row r="844">
      <c r="A844" s="22"/>
      <c r="B844" s="12"/>
      <c r="C844" s="10"/>
      <c r="D844" s="12"/>
      <c r="E844" s="10"/>
      <c r="F844" s="10"/>
      <c r="G844" s="10"/>
      <c r="H844" s="10"/>
      <c r="I844" s="10"/>
      <c r="J844" s="10"/>
      <c r="K844" s="10"/>
      <c r="L844" s="10"/>
    </row>
    <row r="845">
      <c r="A845" s="22"/>
      <c r="B845" s="12"/>
      <c r="C845" s="10"/>
      <c r="D845" s="12"/>
      <c r="E845" s="10"/>
      <c r="F845" s="10"/>
      <c r="G845" s="10"/>
      <c r="H845" s="10"/>
      <c r="I845" s="10"/>
      <c r="J845" s="10"/>
      <c r="K845" s="10"/>
      <c r="L845" s="10"/>
    </row>
    <row r="846">
      <c r="A846" s="22"/>
      <c r="B846" s="12"/>
      <c r="C846" s="10"/>
      <c r="D846" s="12"/>
      <c r="E846" s="10"/>
      <c r="F846" s="10"/>
      <c r="G846" s="10"/>
      <c r="H846" s="10"/>
      <c r="I846" s="10"/>
      <c r="J846" s="10"/>
      <c r="K846" s="10"/>
      <c r="L846" s="10"/>
    </row>
    <row r="847">
      <c r="A847" s="22"/>
      <c r="B847" s="12"/>
      <c r="C847" s="10"/>
      <c r="D847" s="12"/>
      <c r="E847" s="10"/>
      <c r="F847" s="10"/>
      <c r="G847" s="10"/>
      <c r="H847" s="10"/>
      <c r="I847" s="10"/>
      <c r="J847" s="10"/>
      <c r="K847" s="10"/>
      <c r="L847" s="10"/>
    </row>
    <row r="848">
      <c r="A848" s="22"/>
      <c r="B848" s="12"/>
      <c r="C848" s="10"/>
      <c r="D848" s="12"/>
      <c r="E848" s="10"/>
      <c r="F848" s="10"/>
      <c r="G848" s="10"/>
      <c r="H848" s="10"/>
      <c r="I848" s="10"/>
      <c r="J848" s="10"/>
      <c r="K848" s="10"/>
      <c r="L848" s="10"/>
    </row>
    <row r="849">
      <c r="A849" s="22"/>
      <c r="B849" s="12"/>
      <c r="C849" s="10"/>
      <c r="D849" s="12"/>
      <c r="E849" s="10"/>
      <c r="F849" s="10"/>
      <c r="G849" s="10"/>
      <c r="H849" s="10"/>
      <c r="I849" s="10"/>
      <c r="J849" s="10"/>
      <c r="K849" s="10"/>
      <c r="L849" s="10"/>
    </row>
    <row r="850">
      <c r="A850" s="22"/>
      <c r="B850" s="12"/>
      <c r="C850" s="10"/>
      <c r="D850" s="12"/>
      <c r="E850" s="10"/>
      <c r="F850" s="10"/>
      <c r="G850" s="10"/>
      <c r="H850" s="10"/>
      <c r="I850" s="10"/>
      <c r="J850" s="10"/>
      <c r="K850" s="10"/>
      <c r="L850" s="10"/>
    </row>
    <row r="851">
      <c r="A851" s="22"/>
      <c r="B851" s="12"/>
      <c r="C851" s="10"/>
      <c r="D851" s="12"/>
      <c r="E851" s="10"/>
      <c r="F851" s="10"/>
      <c r="G851" s="10"/>
      <c r="H851" s="10"/>
      <c r="I851" s="10"/>
      <c r="J851" s="10"/>
      <c r="K851" s="10"/>
      <c r="L851" s="10"/>
    </row>
    <row r="852">
      <c r="A852" s="22"/>
      <c r="B852" s="12"/>
      <c r="C852" s="10"/>
      <c r="D852" s="12"/>
      <c r="E852" s="10"/>
      <c r="F852" s="10"/>
      <c r="G852" s="10"/>
      <c r="H852" s="10"/>
      <c r="I852" s="10"/>
      <c r="J852" s="10"/>
      <c r="K852" s="10"/>
      <c r="L852" s="10"/>
    </row>
    <row r="853">
      <c r="A853" s="22"/>
      <c r="B853" s="12"/>
      <c r="C853" s="10"/>
      <c r="D853" s="12"/>
      <c r="E853" s="10"/>
      <c r="F853" s="10"/>
      <c r="G853" s="10"/>
      <c r="H853" s="10"/>
      <c r="I853" s="10"/>
      <c r="J853" s="10"/>
      <c r="K853" s="10"/>
      <c r="L853" s="10"/>
    </row>
    <row r="854">
      <c r="A854" s="22"/>
      <c r="B854" s="12"/>
      <c r="C854" s="10"/>
      <c r="D854" s="12"/>
      <c r="E854" s="10"/>
      <c r="F854" s="10"/>
      <c r="G854" s="10"/>
      <c r="H854" s="10"/>
      <c r="I854" s="10"/>
      <c r="J854" s="10"/>
      <c r="K854" s="10"/>
      <c r="L854" s="10"/>
    </row>
    <row r="855">
      <c r="A855" s="22"/>
      <c r="B855" s="12"/>
      <c r="C855" s="10"/>
      <c r="D855" s="12"/>
      <c r="E855" s="10"/>
      <c r="F855" s="10"/>
      <c r="G855" s="10"/>
      <c r="H855" s="10"/>
      <c r="I855" s="10"/>
      <c r="J855" s="10"/>
      <c r="K855" s="10"/>
      <c r="L855" s="10"/>
    </row>
    <row r="856">
      <c r="A856" s="22"/>
      <c r="B856" s="12"/>
      <c r="C856" s="10"/>
      <c r="D856" s="12"/>
      <c r="E856" s="10"/>
      <c r="F856" s="10"/>
      <c r="G856" s="10"/>
      <c r="H856" s="10"/>
      <c r="I856" s="10"/>
      <c r="J856" s="10"/>
      <c r="K856" s="10"/>
      <c r="L856" s="10"/>
    </row>
    <row r="857">
      <c r="A857" s="22"/>
      <c r="B857" s="12"/>
      <c r="C857" s="10"/>
      <c r="D857" s="12"/>
      <c r="E857" s="10"/>
      <c r="F857" s="10"/>
      <c r="G857" s="10"/>
      <c r="H857" s="10"/>
      <c r="I857" s="10"/>
      <c r="J857" s="10"/>
      <c r="K857" s="10"/>
      <c r="L857" s="10"/>
    </row>
    <row r="858">
      <c r="A858" s="22"/>
      <c r="B858" s="12"/>
      <c r="C858" s="10"/>
      <c r="D858" s="12"/>
      <c r="E858" s="10"/>
      <c r="F858" s="10"/>
      <c r="G858" s="10"/>
      <c r="H858" s="10"/>
      <c r="I858" s="10"/>
      <c r="J858" s="10"/>
      <c r="K858" s="10"/>
      <c r="L858" s="10"/>
    </row>
    <row r="859">
      <c r="A859" s="22"/>
      <c r="B859" s="12"/>
      <c r="C859" s="10"/>
      <c r="D859" s="12"/>
      <c r="E859" s="10"/>
      <c r="F859" s="10"/>
      <c r="G859" s="10"/>
      <c r="H859" s="10"/>
      <c r="I859" s="10"/>
      <c r="J859" s="10"/>
      <c r="K859" s="10"/>
      <c r="L859" s="10"/>
    </row>
    <row r="860">
      <c r="A860" s="22"/>
      <c r="B860" s="12"/>
      <c r="C860" s="10"/>
      <c r="D860" s="12"/>
      <c r="E860" s="10"/>
      <c r="F860" s="10"/>
      <c r="G860" s="10"/>
      <c r="H860" s="10"/>
      <c r="I860" s="10"/>
      <c r="J860" s="10"/>
      <c r="K860" s="10"/>
      <c r="L860" s="10"/>
    </row>
    <row r="861">
      <c r="A861" s="22"/>
      <c r="B861" s="12"/>
      <c r="C861" s="10"/>
      <c r="D861" s="12"/>
      <c r="E861" s="10"/>
      <c r="F861" s="10"/>
      <c r="G861" s="10"/>
      <c r="H861" s="10"/>
      <c r="I861" s="10"/>
      <c r="J861" s="10"/>
      <c r="K861" s="10"/>
      <c r="L861" s="10"/>
    </row>
    <row r="862">
      <c r="A862" s="22"/>
      <c r="B862" s="12"/>
      <c r="C862" s="10"/>
      <c r="D862" s="12"/>
      <c r="E862" s="10"/>
      <c r="F862" s="10"/>
      <c r="G862" s="10"/>
      <c r="H862" s="10"/>
      <c r="I862" s="10"/>
      <c r="J862" s="10"/>
      <c r="K862" s="10"/>
      <c r="L862" s="10"/>
    </row>
    <row r="863">
      <c r="A863" s="22"/>
      <c r="B863" s="12"/>
      <c r="C863" s="10"/>
      <c r="D863" s="12"/>
      <c r="E863" s="10"/>
      <c r="F863" s="10"/>
      <c r="G863" s="10"/>
      <c r="H863" s="10"/>
      <c r="I863" s="10"/>
      <c r="J863" s="10"/>
      <c r="K863" s="10"/>
      <c r="L863" s="10"/>
    </row>
    <row r="864">
      <c r="A864" s="22"/>
      <c r="B864" s="12"/>
      <c r="C864" s="10"/>
      <c r="D864" s="12"/>
      <c r="E864" s="10"/>
      <c r="F864" s="10"/>
      <c r="G864" s="10"/>
      <c r="H864" s="10"/>
      <c r="I864" s="10"/>
      <c r="J864" s="10"/>
      <c r="K864" s="10"/>
      <c r="L864" s="10"/>
    </row>
    <row r="865">
      <c r="A865" s="22"/>
      <c r="B865" s="12"/>
      <c r="C865" s="10"/>
      <c r="D865" s="12"/>
      <c r="E865" s="10"/>
      <c r="F865" s="10"/>
      <c r="G865" s="10"/>
      <c r="H865" s="10"/>
      <c r="I865" s="10"/>
      <c r="J865" s="10"/>
      <c r="K865" s="10"/>
      <c r="L865" s="10"/>
    </row>
    <row r="866">
      <c r="A866" s="22"/>
      <c r="B866" s="12"/>
      <c r="C866" s="10"/>
      <c r="D866" s="12"/>
      <c r="E866" s="10"/>
      <c r="F866" s="10"/>
      <c r="G866" s="10"/>
      <c r="H866" s="10"/>
      <c r="I866" s="10"/>
      <c r="J866" s="10"/>
      <c r="K866" s="10"/>
      <c r="L866" s="10"/>
    </row>
    <row r="867">
      <c r="A867" s="22"/>
      <c r="B867" s="12"/>
      <c r="C867" s="10"/>
      <c r="D867" s="12"/>
      <c r="E867" s="10"/>
      <c r="F867" s="10"/>
      <c r="G867" s="10"/>
      <c r="H867" s="10"/>
      <c r="I867" s="10"/>
      <c r="J867" s="10"/>
      <c r="K867" s="10"/>
      <c r="L867" s="10"/>
    </row>
    <row r="868">
      <c r="A868" s="22"/>
      <c r="B868" s="12"/>
      <c r="C868" s="10"/>
      <c r="D868" s="12"/>
      <c r="E868" s="10"/>
      <c r="F868" s="10"/>
      <c r="G868" s="10"/>
      <c r="H868" s="10"/>
      <c r="I868" s="10"/>
      <c r="J868" s="10"/>
      <c r="K868" s="10"/>
      <c r="L868" s="10"/>
    </row>
    <row r="869">
      <c r="A869" s="22"/>
      <c r="B869" s="12"/>
      <c r="C869" s="10"/>
      <c r="D869" s="12"/>
      <c r="E869" s="10"/>
      <c r="F869" s="10"/>
      <c r="G869" s="10"/>
      <c r="H869" s="10"/>
      <c r="I869" s="10"/>
      <c r="J869" s="10"/>
      <c r="K869" s="10"/>
      <c r="L869" s="10"/>
    </row>
    <row r="870">
      <c r="A870" s="22"/>
      <c r="B870" s="12"/>
      <c r="C870" s="10"/>
      <c r="D870" s="12"/>
      <c r="E870" s="10"/>
      <c r="F870" s="10"/>
      <c r="G870" s="10"/>
      <c r="H870" s="10"/>
      <c r="I870" s="10"/>
      <c r="J870" s="10"/>
      <c r="K870" s="10"/>
      <c r="L870" s="10"/>
    </row>
    <row r="871">
      <c r="A871" s="22"/>
      <c r="B871" s="12"/>
      <c r="C871" s="10"/>
      <c r="D871" s="12"/>
      <c r="E871" s="10"/>
      <c r="F871" s="10"/>
      <c r="G871" s="10"/>
      <c r="H871" s="10"/>
      <c r="I871" s="10"/>
      <c r="J871" s="10"/>
      <c r="K871" s="10"/>
      <c r="L871" s="10"/>
    </row>
    <row r="872">
      <c r="A872" s="22"/>
      <c r="B872" s="12"/>
      <c r="C872" s="10"/>
      <c r="D872" s="12"/>
      <c r="E872" s="10"/>
      <c r="F872" s="10"/>
      <c r="G872" s="10"/>
      <c r="H872" s="10"/>
      <c r="I872" s="10"/>
      <c r="J872" s="10"/>
      <c r="K872" s="10"/>
      <c r="L872" s="10"/>
    </row>
    <row r="873">
      <c r="A873" s="22"/>
      <c r="B873" s="12"/>
      <c r="C873" s="10"/>
      <c r="D873" s="12"/>
      <c r="E873" s="10"/>
      <c r="F873" s="10"/>
      <c r="G873" s="10"/>
      <c r="H873" s="10"/>
      <c r="I873" s="10"/>
      <c r="J873" s="10"/>
      <c r="K873" s="10"/>
      <c r="L873" s="10"/>
    </row>
    <row r="874">
      <c r="A874" s="22"/>
      <c r="B874" s="12"/>
      <c r="C874" s="10"/>
      <c r="D874" s="12"/>
      <c r="E874" s="10"/>
      <c r="F874" s="10"/>
      <c r="G874" s="10"/>
      <c r="H874" s="10"/>
      <c r="I874" s="10"/>
      <c r="J874" s="10"/>
      <c r="K874" s="10"/>
      <c r="L874" s="10"/>
    </row>
    <row r="875">
      <c r="A875" s="22"/>
      <c r="B875" s="12"/>
      <c r="C875" s="10"/>
      <c r="D875" s="12"/>
      <c r="E875" s="10"/>
      <c r="F875" s="10"/>
      <c r="G875" s="10"/>
      <c r="H875" s="10"/>
      <c r="I875" s="10"/>
      <c r="J875" s="10"/>
      <c r="K875" s="10"/>
      <c r="L875" s="10"/>
    </row>
    <row r="876">
      <c r="A876" s="22"/>
      <c r="B876" s="12"/>
      <c r="C876" s="10"/>
      <c r="D876" s="12"/>
      <c r="E876" s="10"/>
      <c r="F876" s="10"/>
      <c r="G876" s="10"/>
      <c r="H876" s="10"/>
      <c r="I876" s="10"/>
      <c r="J876" s="10"/>
      <c r="K876" s="10"/>
      <c r="L876" s="10"/>
    </row>
    <row r="877">
      <c r="A877" s="22"/>
      <c r="B877" s="12"/>
      <c r="C877" s="10"/>
      <c r="D877" s="12"/>
      <c r="E877" s="10"/>
      <c r="F877" s="10"/>
      <c r="G877" s="10"/>
      <c r="H877" s="10"/>
      <c r="I877" s="10"/>
      <c r="J877" s="10"/>
      <c r="K877" s="10"/>
      <c r="L877" s="10"/>
    </row>
    <row r="878">
      <c r="A878" s="22"/>
      <c r="B878" s="12"/>
      <c r="C878" s="10"/>
      <c r="D878" s="12"/>
      <c r="E878" s="10"/>
      <c r="F878" s="10"/>
      <c r="G878" s="10"/>
      <c r="H878" s="10"/>
      <c r="I878" s="10"/>
      <c r="J878" s="10"/>
      <c r="K878" s="10"/>
      <c r="L878" s="10"/>
    </row>
    <row r="879">
      <c r="A879" s="22"/>
      <c r="B879" s="12"/>
      <c r="C879" s="10"/>
      <c r="D879" s="12"/>
      <c r="E879" s="10"/>
      <c r="F879" s="10"/>
      <c r="G879" s="10"/>
      <c r="H879" s="10"/>
      <c r="I879" s="10"/>
      <c r="J879" s="10"/>
      <c r="K879" s="10"/>
      <c r="L879" s="10"/>
    </row>
    <row r="880">
      <c r="A880" s="22"/>
      <c r="B880" s="12"/>
      <c r="C880" s="10"/>
      <c r="D880" s="12"/>
      <c r="E880" s="10"/>
      <c r="F880" s="10"/>
      <c r="G880" s="10"/>
      <c r="H880" s="10"/>
      <c r="I880" s="10"/>
      <c r="J880" s="10"/>
      <c r="K880" s="10"/>
      <c r="L880" s="10"/>
    </row>
    <row r="881">
      <c r="A881" s="22"/>
      <c r="B881" s="12"/>
      <c r="C881" s="10"/>
      <c r="D881" s="12"/>
      <c r="E881" s="10"/>
      <c r="F881" s="10"/>
      <c r="G881" s="10"/>
      <c r="H881" s="10"/>
      <c r="I881" s="10"/>
      <c r="J881" s="10"/>
      <c r="K881" s="10"/>
      <c r="L881" s="10"/>
    </row>
    <row r="882">
      <c r="A882" s="22"/>
      <c r="B882" s="12"/>
      <c r="C882" s="10"/>
      <c r="D882" s="12"/>
      <c r="E882" s="10"/>
      <c r="F882" s="10"/>
      <c r="G882" s="10"/>
      <c r="H882" s="10"/>
      <c r="I882" s="10"/>
      <c r="J882" s="10"/>
      <c r="K882" s="10"/>
      <c r="L882" s="10"/>
    </row>
    <row r="883">
      <c r="A883" s="22"/>
      <c r="B883" s="12"/>
      <c r="C883" s="10"/>
      <c r="D883" s="12"/>
      <c r="E883" s="10"/>
      <c r="F883" s="10"/>
      <c r="G883" s="10"/>
      <c r="H883" s="10"/>
      <c r="I883" s="10"/>
      <c r="J883" s="10"/>
      <c r="K883" s="10"/>
      <c r="L883" s="10"/>
    </row>
    <row r="884">
      <c r="A884" s="22"/>
      <c r="B884" s="12"/>
      <c r="C884" s="10"/>
      <c r="D884" s="12"/>
      <c r="E884" s="10"/>
      <c r="F884" s="10"/>
      <c r="G884" s="10"/>
      <c r="H884" s="10"/>
      <c r="I884" s="10"/>
      <c r="J884" s="10"/>
      <c r="K884" s="10"/>
      <c r="L884" s="10"/>
    </row>
    <row r="885">
      <c r="A885" s="22"/>
      <c r="B885" s="12"/>
      <c r="C885" s="10"/>
      <c r="D885" s="12"/>
      <c r="E885" s="10"/>
      <c r="F885" s="10"/>
      <c r="G885" s="10"/>
      <c r="H885" s="10"/>
      <c r="I885" s="10"/>
      <c r="J885" s="10"/>
      <c r="K885" s="10"/>
      <c r="L885" s="10"/>
    </row>
    <row r="886">
      <c r="A886" s="22"/>
      <c r="B886" s="12"/>
      <c r="C886" s="10"/>
      <c r="D886" s="12"/>
      <c r="E886" s="10"/>
      <c r="F886" s="10"/>
      <c r="G886" s="10"/>
      <c r="H886" s="10"/>
      <c r="I886" s="10"/>
      <c r="J886" s="10"/>
      <c r="K886" s="10"/>
      <c r="L886" s="10"/>
    </row>
    <row r="887">
      <c r="A887" s="22"/>
      <c r="B887" s="12"/>
      <c r="C887" s="10"/>
      <c r="D887" s="12"/>
      <c r="E887" s="10"/>
      <c r="F887" s="10"/>
      <c r="G887" s="10"/>
      <c r="H887" s="10"/>
      <c r="I887" s="10"/>
      <c r="J887" s="10"/>
      <c r="K887" s="10"/>
      <c r="L887" s="10"/>
    </row>
    <row r="888">
      <c r="A888" s="22"/>
      <c r="B888" s="12"/>
      <c r="C888" s="10"/>
      <c r="D888" s="12"/>
      <c r="E888" s="10"/>
      <c r="F888" s="10"/>
      <c r="G888" s="10"/>
      <c r="H888" s="10"/>
      <c r="I888" s="10"/>
      <c r="J888" s="10"/>
      <c r="K888" s="10"/>
      <c r="L888" s="10"/>
    </row>
    <row r="889">
      <c r="A889" s="22"/>
      <c r="B889" s="12"/>
      <c r="C889" s="10"/>
      <c r="D889" s="12"/>
      <c r="E889" s="10"/>
      <c r="F889" s="10"/>
      <c r="G889" s="10"/>
      <c r="H889" s="10"/>
      <c r="I889" s="10"/>
      <c r="J889" s="10"/>
      <c r="K889" s="10"/>
      <c r="L889" s="10"/>
    </row>
    <row r="890">
      <c r="A890" s="22"/>
      <c r="B890" s="12"/>
      <c r="C890" s="10"/>
      <c r="D890" s="12"/>
      <c r="E890" s="10"/>
      <c r="F890" s="10"/>
      <c r="G890" s="10"/>
      <c r="H890" s="10"/>
      <c r="I890" s="10"/>
      <c r="J890" s="10"/>
      <c r="K890" s="10"/>
      <c r="L890" s="10"/>
    </row>
    <row r="891">
      <c r="A891" s="22"/>
      <c r="B891" s="12"/>
      <c r="C891" s="10"/>
      <c r="D891" s="12"/>
      <c r="E891" s="10"/>
      <c r="F891" s="10"/>
      <c r="G891" s="10"/>
      <c r="H891" s="10"/>
      <c r="I891" s="10"/>
      <c r="J891" s="10"/>
      <c r="K891" s="10"/>
      <c r="L891" s="10"/>
    </row>
    <row r="892">
      <c r="A892" s="22"/>
      <c r="B892" s="12"/>
      <c r="C892" s="10"/>
      <c r="D892" s="12"/>
      <c r="E892" s="10"/>
      <c r="F892" s="10"/>
      <c r="G892" s="10"/>
      <c r="H892" s="10"/>
      <c r="I892" s="10"/>
      <c r="J892" s="10"/>
      <c r="K892" s="10"/>
      <c r="L892" s="10"/>
    </row>
    <row r="893">
      <c r="A893" s="22"/>
      <c r="B893" s="12"/>
      <c r="C893" s="10"/>
      <c r="D893" s="12"/>
      <c r="E893" s="10"/>
      <c r="F893" s="10"/>
      <c r="G893" s="10"/>
      <c r="H893" s="10"/>
      <c r="I893" s="10"/>
      <c r="J893" s="10"/>
      <c r="K893" s="10"/>
      <c r="L893" s="10"/>
    </row>
    <row r="894">
      <c r="A894" s="22"/>
      <c r="B894" s="12"/>
      <c r="C894" s="10"/>
      <c r="D894" s="12"/>
      <c r="E894" s="10"/>
      <c r="F894" s="10"/>
      <c r="G894" s="10"/>
      <c r="H894" s="10"/>
      <c r="I894" s="10"/>
      <c r="J894" s="10"/>
      <c r="K894" s="10"/>
      <c r="L894" s="10"/>
    </row>
    <row r="895">
      <c r="A895" s="22"/>
      <c r="B895" s="12"/>
      <c r="C895" s="10"/>
      <c r="D895" s="12"/>
      <c r="E895" s="10"/>
      <c r="F895" s="10"/>
      <c r="G895" s="10"/>
      <c r="H895" s="10"/>
      <c r="I895" s="10"/>
      <c r="J895" s="10"/>
      <c r="K895" s="10"/>
      <c r="L895" s="10"/>
    </row>
    <row r="896">
      <c r="A896" s="22"/>
      <c r="B896" s="12"/>
      <c r="C896" s="10"/>
      <c r="D896" s="12"/>
      <c r="E896" s="10"/>
      <c r="F896" s="10"/>
      <c r="G896" s="10"/>
      <c r="H896" s="10"/>
      <c r="I896" s="10"/>
      <c r="J896" s="10"/>
      <c r="K896" s="10"/>
      <c r="L896" s="10"/>
    </row>
    <row r="897">
      <c r="A897" s="22"/>
      <c r="B897" s="12"/>
      <c r="C897" s="10"/>
      <c r="D897" s="12"/>
      <c r="E897" s="10"/>
      <c r="F897" s="10"/>
      <c r="G897" s="10"/>
      <c r="H897" s="10"/>
      <c r="I897" s="10"/>
      <c r="J897" s="10"/>
      <c r="K897" s="10"/>
      <c r="L897" s="10"/>
    </row>
    <row r="898">
      <c r="A898" s="22"/>
      <c r="B898" s="12"/>
      <c r="C898" s="10"/>
      <c r="D898" s="12"/>
      <c r="E898" s="10"/>
      <c r="F898" s="10"/>
      <c r="G898" s="10"/>
      <c r="H898" s="10"/>
      <c r="I898" s="10"/>
      <c r="J898" s="10"/>
      <c r="K898" s="10"/>
      <c r="L898" s="10"/>
    </row>
    <row r="899">
      <c r="A899" s="22"/>
      <c r="B899" s="12"/>
      <c r="C899" s="10"/>
      <c r="D899" s="12"/>
      <c r="E899" s="10"/>
      <c r="F899" s="10"/>
      <c r="G899" s="10"/>
      <c r="H899" s="10"/>
      <c r="I899" s="10"/>
      <c r="J899" s="10"/>
      <c r="K899" s="10"/>
      <c r="L899" s="10"/>
    </row>
    <row r="900">
      <c r="A900" s="22"/>
      <c r="B900" s="12"/>
      <c r="C900" s="10"/>
      <c r="D900" s="12"/>
      <c r="E900" s="10"/>
      <c r="F900" s="10"/>
      <c r="G900" s="10"/>
      <c r="H900" s="10"/>
      <c r="I900" s="10"/>
      <c r="J900" s="10"/>
      <c r="K900" s="10"/>
      <c r="L900" s="10"/>
    </row>
    <row r="901">
      <c r="A901" s="22"/>
      <c r="B901" s="12"/>
      <c r="C901" s="10"/>
      <c r="D901" s="12"/>
      <c r="E901" s="10"/>
      <c r="F901" s="10"/>
      <c r="G901" s="10"/>
      <c r="H901" s="10"/>
      <c r="I901" s="10"/>
      <c r="J901" s="10"/>
      <c r="K901" s="10"/>
      <c r="L901" s="10"/>
    </row>
    <row r="902">
      <c r="A902" s="22"/>
      <c r="B902" s="12"/>
      <c r="C902" s="10"/>
      <c r="D902" s="12"/>
      <c r="E902" s="10"/>
      <c r="F902" s="10"/>
      <c r="G902" s="10"/>
      <c r="H902" s="10"/>
      <c r="I902" s="10"/>
      <c r="J902" s="10"/>
      <c r="K902" s="10"/>
      <c r="L902" s="10"/>
    </row>
    <row r="903">
      <c r="A903" s="22"/>
      <c r="B903" s="12"/>
      <c r="C903" s="10"/>
      <c r="D903" s="12"/>
      <c r="E903" s="10"/>
      <c r="F903" s="10"/>
      <c r="G903" s="10"/>
      <c r="H903" s="10"/>
      <c r="I903" s="10"/>
      <c r="J903" s="10"/>
      <c r="K903" s="10"/>
      <c r="L903" s="10"/>
    </row>
    <row r="904">
      <c r="A904" s="22"/>
      <c r="B904" s="12"/>
      <c r="C904" s="10"/>
      <c r="D904" s="12"/>
      <c r="E904" s="10"/>
      <c r="F904" s="10"/>
      <c r="G904" s="10"/>
      <c r="H904" s="10"/>
      <c r="I904" s="10"/>
      <c r="J904" s="10"/>
      <c r="K904" s="10"/>
      <c r="L904" s="10"/>
    </row>
    <row r="905">
      <c r="A905" s="22"/>
      <c r="B905" s="12"/>
      <c r="C905" s="10"/>
      <c r="D905" s="12"/>
      <c r="E905" s="10"/>
      <c r="F905" s="10"/>
      <c r="G905" s="10"/>
      <c r="H905" s="10"/>
      <c r="I905" s="10"/>
      <c r="J905" s="10"/>
      <c r="K905" s="10"/>
      <c r="L905" s="10"/>
    </row>
    <row r="906">
      <c r="A906" s="22"/>
      <c r="B906" s="12"/>
      <c r="C906" s="10"/>
      <c r="D906" s="12"/>
      <c r="E906" s="10"/>
      <c r="F906" s="10"/>
      <c r="G906" s="10"/>
      <c r="H906" s="10"/>
      <c r="I906" s="10"/>
      <c r="J906" s="10"/>
      <c r="K906" s="10"/>
      <c r="L906" s="10"/>
    </row>
    <row r="907">
      <c r="A907" s="22"/>
      <c r="B907" s="12"/>
      <c r="C907" s="10"/>
      <c r="D907" s="12"/>
      <c r="E907" s="10"/>
      <c r="F907" s="10"/>
      <c r="G907" s="10"/>
      <c r="H907" s="10"/>
      <c r="I907" s="10"/>
      <c r="J907" s="10"/>
      <c r="K907" s="10"/>
      <c r="L907" s="10"/>
    </row>
    <row r="908">
      <c r="A908" s="22"/>
      <c r="B908" s="12"/>
      <c r="C908" s="10"/>
      <c r="D908" s="12"/>
      <c r="E908" s="10"/>
      <c r="F908" s="10"/>
      <c r="G908" s="10"/>
      <c r="H908" s="10"/>
      <c r="I908" s="10"/>
      <c r="J908" s="10"/>
      <c r="K908" s="10"/>
      <c r="L908" s="10"/>
    </row>
    <row r="909">
      <c r="A909" s="22"/>
      <c r="B909" s="12"/>
      <c r="C909" s="10"/>
      <c r="D909" s="12"/>
      <c r="E909" s="10"/>
      <c r="F909" s="10"/>
      <c r="G909" s="10"/>
      <c r="H909" s="10"/>
      <c r="I909" s="10"/>
      <c r="J909" s="10"/>
      <c r="K909" s="10"/>
      <c r="L909" s="10"/>
    </row>
    <row r="910">
      <c r="A910" s="22"/>
      <c r="B910" s="12"/>
      <c r="C910" s="10"/>
      <c r="D910" s="12"/>
      <c r="E910" s="10"/>
      <c r="F910" s="10"/>
      <c r="G910" s="10"/>
      <c r="H910" s="10"/>
      <c r="I910" s="10"/>
      <c r="J910" s="10"/>
      <c r="K910" s="10"/>
      <c r="L910" s="10"/>
    </row>
    <row r="911">
      <c r="A911" s="22"/>
      <c r="B911" s="12"/>
      <c r="C911" s="10"/>
      <c r="D911" s="12"/>
      <c r="E911" s="10"/>
      <c r="F911" s="10"/>
      <c r="G911" s="10"/>
      <c r="H911" s="10"/>
      <c r="I911" s="10"/>
      <c r="J911" s="10"/>
      <c r="K911" s="10"/>
      <c r="L911" s="10"/>
    </row>
    <row r="912">
      <c r="A912" s="22"/>
      <c r="B912" s="12"/>
      <c r="C912" s="10"/>
      <c r="D912" s="12"/>
      <c r="E912" s="10"/>
      <c r="F912" s="10"/>
      <c r="G912" s="10"/>
      <c r="H912" s="10"/>
      <c r="I912" s="10"/>
      <c r="J912" s="10"/>
      <c r="K912" s="10"/>
      <c r="L912" s="10"/>
    </row>
    <row r="913">
      <c r="A913" s="22"/>
      <c r="B913" s="12"/>
      <c r="C913" s="10"/>
      <c r="D913" s="12"/>
      <c r="E913" s="10"/>
      <c r="F913" s="10"/>
      <c r="G913" s="10"/>
      <c r="H913" s="10"/>
      <c r="I913" s="10"/>
      <c r="J913" s="10"/>
      <c r="K913" s="10"/>
      <c r="L913" s="10"/>
    </row>
    <row r="914">
      <c r="A914" s="22"/>
      <c r="B914" s="12"/>
      <c r="C914" s="10"/>
      <c r="D914" s="12"/>
      <c r="E914" s="10"/>
      <c r="F914" s="10"/>
      <c r="G914" s="10"/>
      <c r="H914" s="10"/>
      <c r="I914" s="10"/>
      <c r="J914" s="10"/>
      <c r="K914" s="10"/>
      <c r="L914" s="10"/>
    </row>
    <row r="915">
      <c r="A915" s="22"/>
      <c r="B915" s="12"/>
      <c r="C915" s="10"/>
      <c r="D915" s="12"/>
      <c r="E915" s="10"/>
      <c r="F915" s="10"/>
      <c r="G915" s="10"/>
      <c r="H915" s="10"/>
      <c r="I915" s="10"/>
      <c r="J915" s="10"/>
      <c r="K915" s="10"/>
      <c r="L915" s="10"/>
    </row>
    <row r="916">
      <c r="A916" s="22"/>
      <c r="B916" s="12"/>
      <c r="C916" s="10"/>
      <c r="D916" s="12"/>
      <c r="E916" s="10"/>
      <c r="F916" s="10"/>
      <c r="G916" s="10"/>
      <c r="H916" s="10"/>
      <c r="I916" s="10"/>
      <c r="J916" s="10"/>
      <c r="K916" s="10"/>
      <c r="L916" s="10"/>
    </row>
    <row r="917">
      <c r="A917" s="22"/>
      <c r="B917" s="12"/>
      <c r="C917" s="10"/>
      <c r="D917" s="12"/>
      <c r="E917" s="10"/>
      <c r="F917" s="10"/>
      <c r="G917" s="10"/>
      <c r="H917" s="10"/>
      <c r="I917" s="10"/>
      <c r="J917" s="10"/>
      <c r="K917" s="10"/>
      <c r="L917" s="10"/>
    </row>
    <row r="918">
      <c r="A918" s="22"/>
      <c r="B918" s="12"/>
      <c r="C918" s="10"/>
      <c r="D918" s="12"/>
      <c r="E918" s="10"/>
      <c r="F918" s="10"/>
      <c r="G918" s="10"/>
      <c r="H918" s="10"/>
      <c r="I918" s="10"/>
      <c r="J918" s="10"/>
      <c r="K918" s="10"/>
      <c r="L918" s="10"/>
    </row>
    <row r="919">
      <c r="A919" s="22"/>
      <c r="B919" s="12"/>
      <c r="C919" s="10"/>
      <c r="D919" s="12"/>
      <c r="E919" s="10"/>
      <c r="F919" s="10"/>
      <c r="G919" s="10"/>
      <c r="H919" s="10"/>
      <c r="I919" s="10"/>
      <c r="J919" s="10"/>
      <c r="K919" s="10"/>
      <c r="L919" s="10"/>
    </row>
    <row r="920">
      <c r="A920" s="22"/>
      <c r="B920" s="12"/>
      <c r="C920" s="10"/>
      <c r="D920" s="12"/>
      <c r="E920" s="10"/>
      <c r="F920" s="10"/>
      <c r="G920" s="10"/>
      <c r="H920" s="10"/>
      <c r="I920" s="10"/>
      <c r="J920" s="10"/>
      <c r="K920" s="10"/>
      <c r="L920" s="10"/>
    </row>
    <row r="921">
      <c r="A921" s="22"/>
      <c r="B921" s="12"/>
      <c r="C921" s="10"/>
      <c r="D921" s="12"/>
      <c r="E921" s="10"/>
      <c r="F921" s="10"/>
      <c r="G921" s="10"/>
      <c r="H921" s="10"/>
      <c r="I921" s="10"/>
      <c r="J921" s="10"/>
      <c r="K921" s="10"/>
      <c r="L921" s="10"/>
    </row>
    <row r="922">
      <c r="A922" s="22"/>
      <c r="B922" s="12"/>
      <c r="C922" s="10"/>
      <c r="D922" s="12"/>
      <c r="E922" s="10"/>
      <c r="F922" s="10"/>
      <c r="G922" s="10"/>
      <c r="H922" s="10"/>
      <c r="I922" s="10"/>
      <c r="J922" s="10"/>
      <c r="K922" s="10"/>
      <c r="L922" s="10"/>
    </row>
    <row r="923">
      <c r="A923" s="22"/>
      <c r="B923" s="12"/>
      <c r="C923" s="10"/>
      <c r="D923" s="12"/>
      <c r="E923" s="10"/>
      <c r="F923" s="10"/>
      <c r="G923" s="10"/>
      <c r="H923" s="10"/>
      <c r="I923" s="10"/>
      <c r="J923" s="10"/>
      <c r="K923" s="10"/>
      <c r="L923" s="10"/>
    </row>
    <row r="924">
      <c r="A924" s="22"/>
      <c r="B924" s="12"/>
      <c r="C924" s="10"/>
      <c r="D924" s="12"/>
      <c r="E924" s="10"/>
      <c r="F924" s="10"/>
      <c r="G924" s="10"/>
      <c r="H924" s="10"/>
      <c r="I924" s="10"/>
      <c r="J924" s="10"/>
      <c r="K924" s="10"/>
      <c r="L924" s="10"/>
    </row>
    <row r="925">
      <c r="A925" s="22"/>
      <c r="B925" s="12"/>
      <c r="C925" s="10"/>
      <c r="D925" s="12"/>
      <c r="E925" s="10"/>
      <c r="F925" s="10"/>
      <c r="G925" s="10"/>
      <c r="H925" s="10"/>
      <c r="I925" s="10"/>
      <c r="J925" s="10"/>
      <c r="K925" s="10"/>
      <c r="L925" s="10"/>
    </row>
    <row r="926">
      <c r="A926" s="22"/>
      <c r="B926" s="12"/>
      <c r="C926" s="10"/>
      <c r="D926" s="12"/>
      <c r="E926" s="10"/>
      <c r="F926" s="10"/>
      <c r="G926" s="10"/>
      <c r="H926" s="10"/>
      <c r="I926" s="10"/>
      <c r="J926" s="10"/>
      <c r="K926" s="10"/>
      <c r="L926" s="10"/>
    </row>
    <row r="927">
      <c r="A927" s="22"/>
      <c r="B927" s="12"/>
      <c r="C927" s="10"/>
      <c r="D927" s="12"/>
      <c r="E927" s="10"/>
      <c r="F927" s="10"/>
      <c r="G927" s="10"/>
      <c r="H927" s="10"/>
      <c r="I927" s="10"/>
      <c r="J927" s="10"/>
      <c r="K927" s="10"/>
      <c r="L927" s="10"/>
    </row>
    <row r="928">
      <c r="A928" s="22"/>
      <c r="B928" s="12"/>
      <c r="C928" s="10"/>
      <c r="D928" s="12"/>
      <c r="E928" s="10"/>
      <c r="F928" s="10"/>
      <c r="G928" s="10"/>
      <c r="H928" s="10"/>
      <c r="I928" s="10"/>
      <c r="J928" s="10"/>
      <c r="K928" s="10"/>
      <c r="L928" s="10"/>
    </row>
    <row r="929">
      <c r="A929" s="22"/>
      <c r="B929" s="12"/>
      <c r="C929" s="10"/>
      <c r="D929" s="12"/>
      <c r="E929" s="10"/>
      <c r="F929" s="10"/>
      <c r="G929" s="10"/>
      <c r="H929" s="10"/>
      <c r="I929" s="10"/>
      <c r="J929" s="10"/>
      <c r="K929" s="10"/>
      <c r="L929" s="10"/>
    </row>
    <row r="930">
      <c r="A930" s="22"/>
      <c r="B930" s="12"/>
      <c r="C930" s="10"/>
      <c r="D930" s="12"/>
      <c r="E930" s="10"/>
      <c r="F930" s="10"/>
      <c r="G930" s="10"/>
      <c r="H930" s="10"/>
      <c r="I930" s="10"/>
      <c r="J930" s="10"/>
      <c r="K930" s="10"/>
      <c r="L930" s="10"/>
    </row>
    <row r="931">
      <c r="A931" s="22"/>
      <c r="B931" s="12"/>
      <c r="C931" s="10"/>
      <c r="D931" s="12"/>
      <c r="E931" s="10"/>
      <c r="F931" s="10"/>
      <c r="G931" s="10"/>
      <c r="H931" s="10"/>
      <c r="I931" s="10"/>
      <c r="J931" s="10"/>
      <c r="K931" s="10"/>
      <c r="L931" s="10"/>
    </row>
    <row r="932">
      <c r="A932" s="22"/>
      <c r="B932" s="12"/>
      <c r="C932" s="10"/>
      <c r="D932" s="12"/>
      <c r="E932" s="10"/>
      <c r="F932" s="10"/>
      <c r="G932" s="10"/>
      <c r="H932" s="10"/>
      <c r="I932" s="10"/>
      <c r="J932" s="10"/>
      <c r="K932" s="10"/>
      <c r="L932" s="10"/>
    </row>
    <row r="933">
      <c r="A933" s="22"/>
      <c r="B933" s="12"/>
      <c r="C933" s="10"/>
      <c r="D933" s="12"/>
      <c r="E933" s="10"/>
      <c r="F933" s="10"/>
      <c r="G933" s="10"/>
      <c r="H933" s="10"/>
      <c r="I933" s="10"/>
      <c r="J933" s="10"/>
      <c r="K933" s="10"/>
      <c r="L933" s="10"/>
    </row>
    <row r="934">
      <c r="A934" s="22"/>
      <c r="B934" s="12"/>
      <c r="C934" s="10"/>
      <c r="D934" s="12"/>
      <c r="E934" s="10"/>
      <c r="F934" s="10"/>
      <c r="G934" s="10"/>
      <c r="H934" s="10"/>
      <c r="I934" s="10"/>
      <c r="J934" s="10"/>
      <c r="K934" s="10"/>
      <c r="L934" s="10"/>
    </row>
    <row r="935">
      <c r="A935" s="22"/>
      <c r="B935" s="12"/>
      <c r="C935" s="10"/>
      <c r="D935" s="12"/>
      <c r="E935" s="10"/>
      <c r="F935" s="10"/>
      <c r="G935" s="10"/>
      <c r="H935" s="10"/>
      <c r="I935" s="10"/>
      <c r="J935" s="10"/>
      <c r="K935" s="10"/>
      <c r="L935" s="10"/>
    </row>
    <row r="936">
      <c r="A936" s="22"/>
      <c r="B936" s="12"/>
      <c r="C936" s="10"/>
      <c r="D936" s="12"/>
      <c r="E936" s="10"/>
      <c r="F936" s="10"/>
      <c r="G936" s="10"/>
      <c r="H936" s="10"/>
      <c r="I936" s="10"/>
      <c r="J936" s="10"/>
      <c r="K936" s="10"/>
      <c r="L936" s="10"/>
    </row>
    <row r="937">
      <c r="A937" s="22"/>
      <c r="B937" s="12"/>
      <c r="C937" s="10"/>
      <c r="D937" s="12"/>
      <c r="E937" s="10"/>
      <c r="F937" s="10"/>
      <c r="G937" s="10"/>
      <c r="H937" s="10"/>
      <c r="I937" s="10"/>
      <c r="J937" s="10"/>
      <c r="K937" s="10"/>
      <c r="L937" s="10"/>
    </row>
    <row r="938">
      <c r="A938" s="22"/>
      <c r="B938" s="12"/>
      <c r="C938" s="10"/>
      <c r="D938" s="12"/>
      <c r="E938" s="10"/>
      <c r="F938" s="10"/>
      <c r="G938" s="10"/>
      <c r="H938" s="10"/>
      <c r="I938" s="10"/>
      <c r="J938" s="10"/>
      <c r="K938" s="10"/>
      <c r="L938" s="10"/>
    </row>
    <row r="939">
      <c r="A939" s="22"/>
      <c r="B939" s="12"/>
      <c r="C939" s="10"/>
      <c r="D939" s="12"/>
      <c r="E939" s="10"/>
      <c r="F939" s="10"/>
      <c r="G939" s="10"/>
      <c r="H939" s="10"/>
      <c r="I939" s="10"/>
      <c r="J939" s="10"/>
      <c r="K939" s="10"/>
      <c r="L939" s="10"/>
    </row>
    <row r="940">
      <c r="A940" s="22"/>
      <c r="B940" s="12"/>
      <c r="C940" s="10"/>
      <c r="D940" s="12"/>
      <c r="E940" s="10"/>
      <c r="F940" s="10"/>
      <c r="G940" s="10"/>
      <c r="H940" s="10"/>
      <c r="I940" s="10"/>
      <c r="J940" s="10"/>
      <c r="K940" s="10"/>
      <c r="L940" s="10"/>
    </row>
    <row r="941">
      <c r="A941" s="22"/>
      <c r="B941" s="12"/>
      <c r="C941" s="10"/>
      <c r="D941" s="12"/>
      <c r="E941" s="10"/>
      <c r="F941" s="10"/>
      <c r="G941" s="10"/>
      <c r="H941" s="10"/>
      <c r="I941" s="10"/>
      <c r="J941" s="10"/>
      <c r="K941" s="10"/>
      <c r="L941" s="10"/>
    </row>
    <row r="942">
      <c r="A942" s="22"/>
      <c r="B942" s="12"/>
      <c r="C942" s="10"/>
      <c r="D942" s="12"/>
      <c r="E942" s="10"/>
      <c r="F942" s="10"/>
      <c r="G942" s="10"/>
      <c r="H942" s="10"/>
      <c r="I942" s="10"/>
      <c r="J942" s="10"/>
      <c r="K942" s="10"/>
      <c r="L942" s="10"/>
    </row>
    <row r="943">
      <c r="A943" s="22"/>
      <c r="B943" s="12"/>
      <c r="C943" s="10"/>
      <c r="D943" s="12"/>
      <c r="E943" s="10"/>
      <c r="F943" s="10"/>
      <c r="G943" s="10"/>
      <c r="H943" s="10"/>
      <c r="I943" s="10"/>
      <c r="J943" s="10"/>
      <c r="K943" s="10"/>
      <c r="L943" s="10"/>
    </row>
    <row r="944">
      <c r="A944" s="22"/>
      <c r="B944" s="12"/>
      <c r="C944" s="10"/>
      <c r="D944" s="12"/>
      <c r="E944" s="10"/>
      <c r="F944" s="10"/>
      <c r="G944" s="10"/>
      <c r="H944" s="10"/>
      <c r="I944" s="10"/>
      <c r="J944" s="10"/>
      <c r="K944" s="10"/>
      <c r="L944" s="10"/>
    </row>
    <row r="945">
      <c r="A945" s="22"/>
      <c r="B945" s="12"/>
      <c r="C945" s="10"/>
      <c r="D945" s="12"/>
      <c r="E945" s="10"/>
      <c r="F945" s="10"/>
      <c r="G945" s="10"/>
      <c r="H945" s="10"/>
      <c r="I945" s="10"/>
      <c r="J945" s="10"/>
      <c r="K945" s="10"/>
      <c r="L945" s="10"/>
    </row>
    <row r="946">
      <c r="A946" s="22"/>
      <c r="B946" s="12"/>
      <c r="C946" s="10"/>
      <c r="D946" s="12"/>
      <c r="E946" s="10"/>
      <c r="F946" s="10"/>
      <c r="G946" s="10"/>
      <c r="H946" s="10"/>
      <c r="I946" s="10"/>
      <c r="J946" s="10"/>
      <c r="K946" s="10"/>
      <c r="L946" s="10"/>
    </row>
    <row r="947">
      <c r="A947" s="22"/>
      <c r="B947" s="12"/>
      <c r="C947" s="10"/>
      <c r="D947" s="12"/>
      <c r="E947" s="10"/>
      <c r="F947" s="10"/>
      <c r="G947" s="10"/>
      <c r="H947" s="10"/>
      <c r="I947" s="10"/>
      <c r="J947" s="10"/>
      <c r="K947" s="10"/>
      <c r="L947" s="10"/>
    </row>
    <row r="948">
      <c r="A948" s="22"/>
      <c r="B948" s="12"/>
      <c r="C948" s="10"/>
      <c r="D948" s="12"/>
      <c r="E948" s="10"/>
      <c r="F948" s="10"/>
      <c r="G948" s="10"/>
      <c r="H948" s="10"/>
      <c r="I948" s="10"/>
      <c r="J948" s="10"/>
      <c r="K948" s="10"/>
      <c r="L948" s="10"/>
    </row>
    <row r="949">
      <c r="A949" s="22"/>
      <c r="B949" s="12"/>
      <c r="C949" s="10"/>
      <c r="D949" s="12"/>
      <c r="E949" s="10"/>
      <c r="F949" s="10"/>
      <c r="G949" s="10"/>
      <c r="H949" s="10"/>
      <c r="I949" s="10"/>
      <c r="J949" s="10"/>
      <c r="K949" s="10"/>
      <c r="L949" s="10"/>
    </row>
    <row r="950">
      <c r="A950" s="22"/>
      <c r="B950" s="12"/>
      <c r="C950" s="10"/>
      <c r="D950" s="12"/>
      <c r="E950" s="10"/>
      <c r="F950" s="10"/>
      <c r="G950" s="10"/>
      <c r="H950" s="10"/>
      <c r="I950" s="10"/>
      <c r="J950" s="10"/>
      <c r="K950" s="10"/>
      <c r="L950" s="10"/>
    </row>
    <row r="951">
      <c r="A951" s="22"/>
      <c r="B951" s="12"/>
      <c r="C951" s="10"/>
      <c r="D951" s="12"/>
      <c r="E951" s="10"/>
      <c r="F951" s="10"/>
      <c r="G951" s="10"/>
      <c r="H951" s="10"/>
      <c r="I951" s="10"/>
      <c r="J951" s="10"/>
      <c r="K951" s="10"/>
      <c r="L951" s="10"/>
    </row>
    <row r="952">
      <c r="A952" s="22"/>
      <c r="B952" s="12"/>
      <c r="C952" s="10"/>
      <c r="D952" s="12"/>
      <c r="E952" s="10"/>
      <c r="F952" s="10"/>
      <c r="G952" s="10"/>
      <c r="H952" s="10"/>
      <c r="I952" s="10"/>
      <c r="J952" s="10"/>
      <c r="K952" s="10"/>
      <c r="L952" s="10"/>
    </row>
    <row r="953">
      <c r="A953" s="22"/>
      <c r="B953" s="12"/>
      <c r="C953" s="10"/>
      <c r="D953" s="12"/>
      <c r="E953" s="10"/>
      <c r="F953" s="10"/>
      <c r="G953" s="10"/>
      <c r="H953" s="10"/>
      <c r="I953" s="10"/>
      <c r="J953" s="10"/>
      <c r="K953" s="10"/>
      <c r="L953" s="10"/>
    </row>
    <row r="954">
      <c r="A954" s="22"/>
      <c r="B954" s="12"/>
      <c r="C954" s="10"/>
      <c r="D954" s="12"/>
      <c r="E954" s="10"/>
      <c r="F954" s="10"/>
      <c r="G954" s="10"/>
      <c r="H954" s="10"/>
      <c r="I954" s="10"/>
      <c r="J954" s="10"/>
      <c r="K954" s="10"/>
      <c r="L954" s="10"/>
    </row>
    <row r="955">
      <c r="A955" s="22"/>
      <c r="B955" s="12"/>
      <c r="C955" s="10"/>
      <c r="D955" s="12"/>
      <c r="E955" s="10"/>
      <c r="F955" s="10"/>
      <c r="G955" s="10"/>
      <c r="H955" s="10"/>
      <c r="I955" s="10"/>
      <c r="J955" s="10"/>
      <c r="K955" s="10"/>
      <c r="L955" s="10"/>
    </row>
    <row r="956">
      <c r="A956" s="22"/>
      <c r="B956" s="12"/>
      <c r="C956" s="10"/>
      <c r="D956" s="12"/>
      <c r="E956" s="10"/>
      <c r="F956" s="10"/>
      <c r="G956" s="10"/>
      <c r="H956" s="10"/>
      <c r="I956" s="10"/>
      <c r="J956" s="10"/>
      <c r="K956" s="10"/>
      <c r="L956" s="10"/>
    </row>
    <row r="957">
      <c r="A957" s="22"/>
      <c r="B957" s="12"/>
      <c r="C957" s="10"/>
      <c r="D957" s="12"/>
      <c r="E957" s="10"/>
      <c r="F957" s="10"/>
      <c r="G957" s="10"/>
      <c r="H957" s="10"/>
      <c r="I957" s="10"/>
      <c r="J957" s="10"/>
      <c r="K957" s="10"/>
      <c r="L957" s="10"/>
    </row>
    <row r="958">
      <c r="A958" s="22"/>
      <c r="B958" s="12"/>
      <c r="C958" s="10"/>
      <c r="D958" s="12"/>
      <c r="E958" s="10"/>
      <c r="F958" s="10"/>
      <c r="G958" s="10"/>
      <c r="H958" s="10"/>
      <c r="I958" s="10"/>
      <c r="J958" s="10"/>
      <c r="K958" s="10"/>
      <c r="L958" s="10"/>
    </row>
    <row r="959">
      <c r="A959" s="22"/>
      <c r="B959" s="12"/>
      <c r="C959" s="10"/>
      <c r="D959" s="12"/>
      <c r="E959" s="10"/>
      <c r="F959" s="10"/>
      <c r="G959" s="10"/>
      <c r="H959" s="10"/>
      <c r="I959" s="10"/>
      <c r="J959" s="10"/>
      <c r="K959" s="10"/>
      <c r="L959" s="10"/>
    </row>
    <row r="960">
      <c r="A960" s="22"/>
      <c r="B960" s="12"/>
      <c r="C960" s="10"/>
      <c r="D960" s="12"/>
      <c r="E960" s="10"/>
      <c r="F960" s="10"/>
      <c r="G960" s="10"/>
      <c r="H960" s="10"/>
      <c r="I960" s="10"/>
      <c r="J960" s="10"/>
      <c r="K960" s="10"/>
      <c r="L960" s="10"/>
    </row>
    <row r="961">
      <c r="A961" s="22"/>
      <c r="B961" s="12"/>
      <c r="C961" s="10"/>
      <c r="D961" s="12"/>
      <c r="E961" s="10"/>
      <c r="F961" s="10"/>
      <c r="G961" s="10"/>
      <c r="H961" s="10"/>
      <c r="I961" s="10"/>
      <c r="J961" s="10"/>
      <c r="K961" s="10"/>
      <c r="L961" s="10"/>
    </row>
    <row r="962">
      <c r="A962" s="22"/>
      <c r="B962" s="12"/>
      <c r="C962" s="10"/>
      <c r="D962" s="12"/>
      <c r="E962" s="10"/>
      <c r="F962" s="10"/>
      <c r="G962" s="10"/>
      <c r="H962" s="10"/>
      <c r="I962" s="10"/>
      <c r="J962" s="10"/>
      <c r="K962" s="10"/>
      <c r="L962" s="10"/>
    </row>
    <row r="963">
      <c r="A963" s="22"/>
      <c r="B963" s="12"/>
      <c r="C963" s="10"/>
      <c r="D963" s="12"/>
      <c r="E963" s="10"/>
      <c r="F963" s="10"/>
      <c r="G963" s="10"/>
      <c r="H963" s="10"/>
      <c r="I963" s="10"/>
      <c r="J963" s="10"/>
      <c r="K963" s="10"/>
      <c r="L963" s="10"/>
    </row>
    <row r="964">
      <c r="A964" s="22"/>
      <c r="B964" s="12"/>
      <c r="C964" s="10"/>
      <c r="D964" s="12"/>
      <c r="E964" s="10"/>
      <c r="F964" s="10"/>
      <c r="G964" s="10"/>
      <c r="H964" s="10"/>
      <c r="I964" s="10"/>
      <c r="J964" s="10"/>
      <c r="K964" s="10"/>
      <c r="L964" s="10"/>
    </row>
    <row r="965">
      <c r="A965" s="22"/>
      <c r="B965" s="12"/>
      <c r="C965" s="10"/>
      <c r="D965" s="12"/>
      <c r="E965" s="10"/>
      <c r="F965" s="10"/>
      <c r="G965" s="10"/>
      <c r="H965" s="10"/>
      <c r="I965" s="10"/>
      <c r="J965" s="10"/>
      <c r="K965" s="10"/>
      <c r="L965" s="10"/>
    </row>
    <row r="966">
      <c r="A966" s="22"/>
      <c r="B966" s="12"/>
      <c r="C966" s="10"/>
      <c r="D966" s="12"/>
      <c r="E966" s="10"/>
      <c r="F966" s="10"/>
      <c r="G966" s="10"/>
      <c r="H966" s="10"/>
      <c r="I966" s="10"/>
      <c r="J966" s="10"/>
      <c r="K966" s="10"/>
      <c r="L966" s="10"/>
    </row>
    <row r="967">
      <c r="A967" s="22"/>
      <c r="B967" s="12"/>
      <c r="C967" s="10"/>
      <c r="D967" s="12"/>
      <c r="E967" s="10"/>
      <c r="F967" s="10"/>
      <c r="G967" s="10"/>
      <c r="H967" s="10"/>
      <c r="I967" s="10"/>
      <c r="J967" s="10"/>
      <c r="K967" s="10"/>
      <c r="L967" s="10"/>
    </row>
    <row r="968">
      <c r="A968" s="22"/>
      <c r="B968" s="12"/>
      <c r="C968" s="10"/>
      <c r="D968" s="12"/>
      <c r="E968" s="10"/>
      <c r="F968" s="10"/>
      <c r="G968" s="10"/>
      <c r="H968" s="10"/>
      <c r="I968" s="10"/>
      <c r="J968" s="10"/>
      <c r="K968" s="10"/>
      <c r="L968" s="10"/>
    </row>
    <row r="969">
      <c r="A969" s="22"/>
      <c r="B969" s="12"/>
      <c r="C969" s="10"/>
      <c r="D969" s="12"/>
      <c r="E969" s="10"/>
      <c r="F969" s="10"/>
      <c r="G969" s="10"/>
      <c r="H969" s="10"/>
      <c r="I969" s="10"/>
      <c r="J969" s="10"/>
      <c r="K969" s="10"/>
      <c r="L969" s="10"/>
    </row>
    <row r="970">
      <c r="A970" s="22"/>
      <c r="B970" s="12"/>
      <c r="C970" s="10"/>
      <c r="D970" s="12"/>
      <c r="E970" s="10"/>
      <c r="F970" s="10"/>
      <c r="G970" s="10"/>
      <c r="H970" s="10"/>
      <c r="I970" s="10"/>
      <c r="J970" s="10"/>
      <c r="K970" s="10"/>
      <c r="L970" s="10"/>
    </row>
    <row r="971">
      <c r="A971" s="22"/>
      <c r="B971" s="12"/>
      <c r="C971" s="10"/>
      <c r="D971" s="12"/>
      <c r="E971" s="10"/>
      <c r="F971" s="10"/>
      <c r="G971" s="10"/>
      <c r="H971" s="10"/>
      <c r="I971" s="10"/>
      <c r="J971" s="10"/>
      <c r="K971" s="10"/>
      <c r="L971" s="10"/>
    </row>
    <row r="972">
      <c r="A972" s="22"/>
      <c r="B972" s="12"/>
      <c r="C972" s="10"/>
      <c r="D972" s="12"/>
      <c r="E972" s="10"/>
      <c r="F972" s="10"/>
      <c r="G972" s="10"/>
      <c r="H972" s="10"/>
      <c r="I972" s="10"/>
      <c r="J972" s="10"/>
      <c r="K972" s="10"/>
      <c r="L972" s="10"/>
    </row>
    <row r="973">
      <c r="A973" s="22"/>
      <c r="B973" s="12"/>
      <c r="C973" s="10"/>
      <c r="D973" s="12"/>
      <c r="E973" s="10"/>
      <c r="F973" s="10"/>
      <c r="G973" s="10"/>
      <c r="H973" s="10"/>
      <c r="I973" s="10"/>
      <c r="J973" s="10"/>
      <c r="K973" s="10"/>
      <c r="L973" s="10"/>
    </row>
    <row r="974">
      <c r="A974" s="22"/>
      <c r="B974" s="12"/>
      <c r="C974" s="10"/>
      <c r="D974" s="12"/>
      <c r="E974" s="10"/>
      <c r="F974" s="10"/>
      <c r="G974" s="10"/>
      <c r="H974" s="10"/>
      <c r="I974" s="10"/>
      <c r="J974" s="10"/>
      <c r="K974" s="10"/>
      <c r="L974" s="10"/>
    </row>
    <row r="975">
      <c r="A975" s="22"/>
      <c r="B975" s="12"/>
      <c r="C975" s="10"/>
      <c r="D975" s="12"/>
      <c r="E975" s="10"/>
      <c r="F975" s="10"/>
      <c r="G975" s="10"/>
      <c r="H975" s="10"/>
      <c r="I975" s="10"/>
      <c r="J975" s="10"/>
      <c r="K975" s="10"/>
      <c r="L975" s="10"/>
    </row>
    <row r="976">
      <c r="A976" s="22"/>
      <c r="B976" s="12"/>
      <c r="C976" s="10"/>
      <c r="D976" s="12"/>
      <c r="E976" s="10"/>
      <c r="F976" s="10"/>
      <c r="G976" s="10"/>
      <c r="H976" s="10"/>
      <c r="I976" s="10"/>
      <c r="J976" s="10"/>
      <c r="K976" s="10"/>
      <c r="L976" s="10"/>
    </row>
    <row r="977">
      <c r="A977" s="22"/>
      <c r="B977" s="12"/>
      <c r="C977" s="10"/>
      <c r="D977" s="12"/>
      <c r="E977" s="10"/>
      <c r="F977" s="10"/>
      <c r="G977" s="10"/>
      <c r="H977" s="10"/>
      <c r="I977" s="10"/>
      <c r="J977" s="10"/>
      <c r="K977" s="10"/>
      <c r="L977" s="10"/>
    </row>
    <row r="978">
      <c r="A978" s="22"/>
      <c r="B978" s="12"/>
      <c r="C978" s="10"/>
      <c r="D978" s="12"/>
      <c r="E978" s="10"/>
      <c r="F978" s="10"/>
      <c r="G978" s="10"/>
      <c r="H978" s="10"/>
      <c r="I978" s="10"/>
      <c r="J978" s="10"/>
      <c r="K978" s="10"/>
      <c r="L978" s="10"/>
    </row>
    <row r="979">
      <c r="A979" s="22"/>
      <c r="B979" s="12"/>
      <c r="C979" s="10"/>
      <c r="D979" s="12"/>
      <c r="E979" s="10"/>
      <c r="F979" s="10"/>
      <c r="G979" s="10"/>
      <c r="H979" s="10"/>
      <c r="I979" s="10"/>
      <c r="J979" s="10"/>
      <c r="K979" s="10"/>
      <c r="L979" s="10"/>
    </row>
    <row r="980">
      <c r="A980" s="22"/>
      <c r="B980" s="12"/>
      <c r="C980" s="10"/>
      <c r="D980" s="12"/>
      <c r="E980" s="10"/>
      <c r="F980" s="10"/>
      <c r="G980" s="10"/>
      <c r="H980" s="10"/>
      <c r="I980" s="10"/>
      <c r="J980" s="10"/>
      <c r="K980" s="10"/>
      <c r="L980" s="10"/>
    </row>
    <row r="981">
      <c r="A981" s="22"/>
      <c r="B981" s="12"/>
      <c r="C981" s="10"/>
      <c r="D981" s="12"/>
      <c r="E981" s="10"/>
      <c r="F981" s="10"/>
      <c r="G981" s="10"/>
      <c r="H981" s="10"/>
      <c r="I981" s="10"/>
      <c r="J981" s="10"/>
      <c r="K981" s="10"/>
      <c r="L981" s="10"/>
    </row>
    <row r="982">
      <c r="A982" s="22"/>
      <c r="B982" s="12"/>
      <c r="C982" s="10"/>
      <c r="D982" s="12"/>
      <c r="E982" s="10"/>
      <c r="F982" s="10"/>
      <c r="G982" s="10"/>
      <c r="H982" s="10"/>
      <c r="I982" s="10"/>
      <c r="J982" s="10"/>
      <c r="K982" s="10"/>
      <c r="L982" s="10"/>
    </row>
    <row r="983">
      <c r="A983" s="22"/>
      <c r="B983" s="12"/>
      <c r="C983" s="10"/>
      <c r="D983" s="12"/>
      <c r="E983" s="10"/>
      <c r="F983" s="10"/>
      <c r="G983" s="10"/>
      <c r="H983" s="10"/>
      <c r="I983" s="10"/>
      <c r="J983" s="10"/>
      <c r="K983" s="10"/>
      <c r="L983" s="10"/>
    </row>
    <row r="984">
      <c r="A984" s="22"/>
      <c r="B984" s="12"/>
      <c r="C984" s="10"/>
      <c r="D984" s="12"/>
      <c r="E984" s="10"/>
      <c r="F984" s="10"/>
      <c r="G984" s="10"/>
      <c r="H984" s="10"/>
      <c r="I984" s="10"/>
      <c r="J984" s="10"/>
      <c r="K984" s="10"/>
      <c r="L984" s="10"/>
    </row>
    <row r="985">
      <c r="A985" s="22"/>
      <c r="B985" s="12"/>
      <c r="C985" s="10"/>
      <c r="D985" s="12"/>
      <c r="E985" s="10"/>
      <c r="F985" s="10"/>
      <c r="G985" s="10"/>
      <c r="H985" s="10"/>
      <c r="I985" s="10"/>
      <c r="J985" s="10"/>
      <c r="K985" s="10"/>
      <c r="L985" s="10"/>
    </row>
    <row r="986">
      <c r="A986" s="22"/>
      <c r="B986" s="12"/>
      <c r="C986" s="10"/>
      <c r="D986" s="12"/>
      <c r="E986" s="10"/>
      <c r="F986" s="10"/>
      <c r="G986" s="10"/>
      <c r="H986" s="10"/>
      <c r="I986" s="10"/>
      <c r="J986" s="10"/>
      <c r="K986" s="10"/>
      <c r="L986" s="10"/>
    </row>
    <row r="987">
      <c r="A987" s="22"/>
      <c r="B987" s="12"/>
      <c r="C987" s="10"/>
      <c r="D987" s="12"/>
      <c r="E987" s="10"/>
      <c r="F987" s="10"/>
      <c r="G987" s="10"/>
      <c r="H987" s="10"/>
      <c r="I987" s="10"/>
      <c r="J987" s="10"/>
      <c r="K987" s="10"/>
      <c r="L987" s="10"/>
    </row>
    <row r="988">
      <c r="A988" s="22"/>
      <c r="B988" s="12"/>
      <c r="C988" s="10"/>
      <c r="D988" s="12"/>
      <c r="E988" s="10"/>
      <c r="F988" s="10"/>
      <c r="G988" s="10"/>
      <c r="H988" s="10"/>
      <c r="I988" s="10"/>
      <c r="J988" s="10"/>
      <c r="K988" s="10"/>
      <c r="L988" s="10"/>
    </row>
    <row r="989">
      <c r="A989" s="22"/>
      <c r="B989" s="12"/>
      <c r="C989" s="10"/>
      <c r="D989" s="12"/>
      <c r="E989" s="10"/>
      <c r="F989" s="10"/>
      <c r="G989" s="10"/>
      <c r="H989" s="10"/>
      <c r="I989" s="10"/>
      <c r="J989" s="10"/>
      <c r="K989" s="10"/>
      <c r="L989" s="10"/>
    </row>
    <row r="990">
      <c r="A990" s="22"/>
      <c r="B990" s="12"/>
      <c r="C990" s="10"/>
      <c r="D990" s="12"/>
      <c r="E990" s="10"/>
      <c r="F990" s="10"/>
      <c r="G990" s="10"/>
      <c r="H990" s="10"/>
      <c r="I990" s="10"/>
      <c r="J990" s="10"/>
      <c r="K990" s="10"/>
      <c r="L990" s="10"/>
    </row>
    <row r="991">
      <c r="A991" s="22"/>
      <c r="B991" s="12"/>
      <c r="C991" s="10"/>
      <c r="D991" s="12"/>
      <c r="E991" s="10"/>
      <c r="F991" s="10"/>
      <c r="G991" s="10"/>
      <c r="H991" s="10"/>
      <c r="I991" s="10"/>
      <c r="J991" s="10"/>
      <c r="K991" s="10"/>
      <c r="L991" s="10"/>
    </row>
    <row r="992">
      <c r="A992" s="22"/>
      <c r="B992" s="12"/>
      <c r="C992" s="10"/>
      <c r="D992" s="12"/>
      <c r="E992" s="10"/>
      <c r="F992" s="10"/>
      <c r="G992" s="10"/>
      <c r="H992" s="10"/>
      <c r="I992" s="10"/>
      <c r="J992" s="10"/>
      <c r="K992" s="10"/>
      <c r="L992" s="10"/>
    </row>
    <row r="993">
      <c r="A993" s="22"/>
      <c r="B993" s="12"/>
      <c r="C993" s="10"/>
      <c r="D993" s="12"/>
      <c r="E993" s="10"/>
      <c r="F993" s="10"/>
      <c r="G993" s="10"/>
      <c r="H993" s="10"/>
      <c r="I993" s="10"/>
      <c r="J993" s="10"/>
      <c r="K993" s="10"/>
      <c r="L993" s="10"/>
    </row>
    <row r="994">
      <c r="A994" s="22"/>
      <c r="B994" s="12"/>
      <c r="C994" s="10"/>
      <c r="D994" s="12"/>
      <c r="E994" s="10"/>
      <c r="F994" s="10"/>
      <c r="G994" s="10"/>
      <c r="H994" s="10"/>
      <c r="I994" s="10"/>
      <c r="J994" s="10"/>
      <c r="K994" s="10"/>
      <c r="L994" s="10"/>
    </row>
    <row r="995">
      <c r="A995" s="22"/>
      <c r="B995" s="12"/>
      <c r="C995" s="10"/>
      <c r="D995" s="12"/>
      <c r="E995" s="10"/>
      <c r="F995" s="10"/>
      <c r="G995" s="10"/>
      <c r="H995" s="10"/>
      <c r="I995" s="10"/>
      <c r="J995" s="10"/>
      <c r="K995" s="10"/>
      <c r="L995" s="10"/>
    </row>
    <row r="996">
      <c r="A996" s="22"/>
      <c r="B996" s="12"/>
      <c r="C996" s="10"/>
      <c r="D996" s="12"/>
      <c r="E996" s="10"/>
      <c r="F996" s="10"/>
      <c r="G996" s="10"/>
      <c r="H996" s="10"/>
      <c r="I996" s="10"/>
      <c r="J996" s="10"/>
      <c r="K996" s="10"/>
      <c r="L996" s="10"/>
    </row>
    <row r="997">
      <c r="A997" s="22"/>
      <c r="B997" s="12"/>
      <c r="C997" s="10"/>
      <c r="D997" s="12"/>
      <c r="E997" s="10"/>
      <c r="F997" s="10"/>
      <c r="G997" s="10"/>
      <c r="H997" s="10"/>
      <c r="I997" s="10"/>
      <c r="J997" s="10"/>
      <c r="K997" s="10"/>
      <c r="L997" s="10"/>
    </row>
    <row r="998">
      <c r="A998" s="22"/>
      <c r="B998" s="12"/>
      <c r="C998" s="10"/>
      <c r="D998" s="12"/>
      <c r="E998" s="10"/>
      <c r="F998" s="10"/>
      <c r="G998" s="10"/>
      <c r="H998" s="10"/>
      <c r="I998" s="10"/>
      <c r="J998" s="10"/>
      <c r="K998" s="10"/>
      <c r="L998" s="10"/>
    </row>
    <row r="999">
      <c r="A999" s="22"/>
      <c r="B999" s="12"/>
      <c r="C999" s="10"/>
      <c r="D999" s="12"/>
      <c r="E999" s="10"/>
      <c r="F999" s="10"/>
      <c r="G999" s="10"/>
      <c r="H999" s="10"/>
      <c r="I999" s="10"/>
      <c r="J999" s="10"/>
      <c r="K999" s="10"/>
      <c r="L999" s="10"/>
    </row>
  </sheetData>
  <dataValidations>
    <dataValidation type="list" allowBlank="1" showErrorMessage="1" sqref="G3:G999">
      <formula1>"Ghi nhận,Từ chối"</formula1>
    </dataValidation>
  </dataValidations>
  <hyperlinks>
    <hyperlink r:id="rId1" ref="B2"/>
    <hyperlink r:id="rId2" ref="D2"/>
    <hyperlink r:id="rId3" ref="B3"/>
    <hyperlink r:id="rId4" ref="D3"/>
    <hyperlink r:id="rId5" ref="B4"/>
    <hyperlink r:id="rId6" ref="D4"/>
    <hyperlink r:id="rId7" ref="J4"/>
    <hyperlink r:id="rId8" ref="B5"/>
    <hyperlink r:id="rId9" ref="D5"/>
    <hyperlink r:id="rId10" ref="B6"/>
    <hyperlink r:id="rId11" ref="D6"/>
    <hyperlink r:id="rId12" ref="B7"/>
    <hyperlink r:id="rId13" ref="D7"/>
    <hyperlink r:id="rId14" ref="B8"/>
    <hyperlink r:id="rId15" ref="D8"/>
    <hyperlink r:id="rId16" ref="B9"/>
    <hyperlink r:id="rId17" ref="D9"/>
    <hyperlink r:id="rId18" ref="C10"/>
    <hyperlink r:id="rId19" ref="D10"/>
    <hyperlink r:id="rId20" ref="B11"/>
    <hyperlink r:id="rId21" ref="D11"/>
    <hyperlink r:id="rId22" ref="J11"/>
    <hyperlink r:id="rId23" ref="B12"/>
    <hyperlink r:id="rId24" ref="D12"/>
    <hyperlink r:id="rId25" ref="B13"/>
    <hyperlink r:id="rId26" ref="D13"/>
    <hyperlink r:id="rId27" ref="B14"/>
    <hyperlink r:id="rId28" ref="D14"/>
    <hyperlink r:id="rId29" ref="D15"/>
    <hyperlink r:id="rId30" ref="B16"/>
    <hyperlink r:id="rId31" ref="D16"/>
    <hyperlink r:id="rId32" ref="B17"/>
    <hyperlink r:id="rId33" ref="D17"/>
    <hyperlink r:id="rId34" ref="B18"/>
    <hyperlink r:id="rId35" ref="D18"/>
    <hyperlink r:id="rId36" ref="B19"/>
    <hyperlink r:id="rId37" ref="D19"/>
    <hyperlink r:id="rId38" ref="B20"/>
    <hyperlink r:id="rId39" ref="D20"/>
    <hyperlink r:id="rId40" ref="B21"/>
    <hyperlink r:id="rId41" ref="D21"/>
    <hyperlink r:id="rId42" ref="B22"/>
    <hyperlink r:id="rId43" ref="D22"/>
    <hyperlink r:id="rId44" ref="B23"/>
    <hyperlink r:id="rId45" ref="C23"/>
    <hyperlink r:id="rId46" ref="D23"/>
  </hyperlinks>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s>
  <sheetData>
    <row r="1">
      <c r="A1" s="23" t="s">
        <v>22</v>
      </c>
      <c r="B1" s="24" t="s">
        <v>23</v>
      </c>
    </row>
    <row r="2">
      <c r="A2" s="25" t="s">
        <v>24</v>
      </c>
    </row>
    <row r="3">
      <c r="A3" s="25" t="s">
        <v>25</v>
      </c>
    </row>
    <row r="4">
      <c r="A4" s="25" t="s">
        <v>26</v>
      </c>
    </row>
    <row r="5">
      <c r="A5" s="25" t="s">
        <v>27</v>
      </c>
    </row>
    <row r="6">
      <c r="A6" s="26"/>
    </row>
    <row r="7">
      <c r="A7" s="26"/>
    </row>
    <row r="8">
      <c r="A8" s="26"/>
    </row>
    <row r="9">
      <c r="A9" s="26"/>
    </row>
    <row r="10">
      <c r="A10" s="26"/>
    </row>
    <row r="11">
      <c r="A11" s="26"/>
    </row>
    <row r="12">
      <c r="A12" s="26"/>
    </row>
    <row r="13">
      <c r="A13" s="26"/>
    </row>
    <row r="14">
      <c r="A14" s="26"/>
    </row>
    <row r="15">
      <c r="A15" s="26"/>
    </row>
    <row r="16">
      <c r="A16" s="26"/>
    </row>
    <row r="17">
      <c r="A17" s="26"/>
    </row>
    <row r="18">
      <c r="A18" s="26"/>
    </row>
    <row r="19">
      <c r="A19" s="26"/>
    </row>
    <row r="20">
      <c r="A20" s="26"/>
    </row>
    <row r="21">
      <c r="A21" s="26"/>
    </row>
    <row r="22">
      <c r="A22" s="26"/>
    </row>
    <row r="23">
      <c r="A23" s="26"/>
    </row>
    <row r="24">
      <c r="A24" s="26"/>
    </row>
    <row r="25">
      <c r="A25" s="26"/>
    </row>
    <row r="26">
      <c r="A26" s="26"/>
    </row>
    <row r="27">
      <c r="A27" s="26"/>
    </row>
    <row r="28">
      <c r="A28" s="26"/>
    </row>
    <row r="29">
      <c r="A29" s="26"/>
    </row>
    <row r="30">
      <c r="A30" s="26"/>
    </row>
    <row r="31">
      <c r="A31" s="26"/>
    </row>
    <row r="32">
      <c r="A32" s="26"/>
    </row>
    <row r="33">
      <c r="A33" s="26"/>
    </row>
    <row r="34">
      <c r="A34" s="26"/>
    </row>
    <row r="35">
      <c r="A35" s="26"/>
    </row>
    <row r="36">
      <c r="A36" s="26"/>
    </row>
    <row r="37">
      <c r="A37" s="26"/>
    </row>
    <row r="38">
      <c r="A38" s="26"/>
    </row>
    <row r="39">
      <c r="A39" s="26"/>
    </row>
    <row r="40">
      <c r="A40" s="26"/>
    </row>
    <row r="41">
      <c r="A41" s="26"/>
    </row>
    <row r="42">
      <c r="A42" s="26"/>
    </row>
    <row r="43">
      <c r="A43" s="26"/>
    </row>
    <row r="44">
      <c r="A44" s="26"/>
    </row>
    <row r="45">
      <c r="A45" s="26"/>
    </row>
    <row r="46">
      <c r="A46" s="26"/>
    </row>
    <row r="47">
      <c r="A47" s="26"/>
    </row>
    <row r="48">
      <c r="A48" s="26"/>
    </row>
    <row r="49">
      <c r="A49" s="26"/>
    </row>
    <row r="50">
      <c r="A50" s="26"/>
    </row>
    <row r="51">
      <c r="A51" s="26"/>
    </row>
    <row r="52">
      <c r="A52" s="26"/>
    </row>
    <row r="53">
      <c r="A53" s="26"/>
    </row>
    <row r="54">
      <c r="A54" s="26"/>
    </row>
    <row r="55">
      <c r="A55" s="26"/>
    </row>
    <row r="56">
      <c r="A56" s="26"/>
    </row>
    <row r="57">
      <c r="A57" s="26"/>
    </row>
    <row r="58">
      <c r="A58" s="26"/>
    </row>
    <row r="59">
      <c r="A59" s="26"/>
    </row>
    <row r="60">
      <c r="A60" s="26"/>
    </row>
    <row r="61">
      <c r="A61" s="26"/>
    </row>
    <row r="62">
      <c r="A62" s="26"/>
    </row>
    <row r="63">
      <c r="A63" s="26"/>
    </row>
    <row r="64">
      <c r="A64" s="26"/>
    </row>
    <row r="65">
      <c r="A65" s="26"/>
    </row>
    <row r="66">
      <c r="A66" s="26"/>
    </row>
    <row r="67">
      <c r="A67" s="26"/>
    </row>
    <row r="68">
      <c r="A68" s="26"/>
    </row>
    <row r="69">
      <c r="A69" s="26"/>
    </row>
    <row r="70">
      <c r="A70" s="26"/>
    </row>
    <row r="71">
      <c r="A71" s="26"/>
    </row>
    <row r="72">
      <c r="A72" s="26"/>
    </row>
    <row r="73">
      <c r="A73" s="26"/>
    </row>
    <row r="74">
      <c r="A74" s="26"/>
    </row>
    <row r="75">
      <c r="A75" s="26"/>
    </row>
    <row r="76">
      <c r="A76" s="26"/>
    </row>
    <row r="77">
      <c r="A77" s="26"/>
    </row>
    <row r="78">
      <c r="A78" s="26"/>
    </row>
    <row r="79">
      <c r="A79" s="26"/>
    </row>
    <row r="80">
      <c r="A80" s="26"/>
    </row>
    <row r="81">
      <c r="A81" s="26"/>
    </row>
    <row r="82">
      <c r="A82" s="26"/>
    </row>
    <row r="83">
      <c r="A83" s="26"/>
    </row>
    <row r="84">
      <c r="A84" s="26"/>
    </row>
    <row r="85">
      <c r="A85" s="26"/>
    </row>
    <row r="86">
      <c r="A86" s="26"/>
    </row>
    <row r="87">
      <c r="A87" s="26"/>
    </row>
    <row r="88">
      <c r="A88" s="26"/>
    </row>
    <row r="89">
      <c r="A89" s="26"/>
    </row>
    <row r="90">
      <c r="A90" s="26"/>
    </row>
    <row r="91">
      <c r="A91" s="26"/>
    </row>
    <row r="92">
      <c r="A92" s="26"/>
    </row>
    <row r="93">
      <c r="A93" s="26"/>
    </row>
    <row r="94">
      <c r="A94" s="26"/>
    </row>
    <row r="95">
      <c r="A95" s="26"/>
    </row>
    <row r="96">
      <c r="A96" s="26"/>
    </row>
    <row r="97">
      <c r="A97" s="26"/>
    </row>
    <row r="98">
      <c r="A98" s="26"/>
    </row>
    <row r="99">
      <c r="A99" s="26"/>
    </row>
    <row r="100">
      <c r="A100" s="26"/>
    </row>
    <row r="101">
      <c r="A101" s="26"/>
    </row>
    <row r="102">
      <c r="A102" s="26"/>
    </row>
    <row r="103">
      <c r="A103" s="26"/>
    </row>
    <row r="104">
      <c r="A104" s="26"/>
    </row>
    <row r="105">
      <c r="A105" s="26"/>
    </row>
    <row r="106">
      <c r="A106" s="26"/>
    </row>
    <row r="107">
      <c r="A107" s="26"/>
    </row>
    <row r="108">
      <c r="A108" s="26"/>
    </row>
    <row r="109">
      <c r="A109" s="26"/>
    </row>
    <row r="110">
      <c r="A110" s="26"/>
    </row>
    <row r="111">
      <c r="A111" s="26"/>
    </row>
    <row r="112">
      <c r="A112" s="26"/>
    </row>
    <row r="113">
      <c r="A113" s="26"/>
    </row>
    <row r="114">
      <c r="A114" s="26"/>
    </row>
    <row r="115">
      <c r="A115" s="26"/>
    </row>
    <row r="116">
      <c r="A116" s="26"/>
    </row>
    <row r="117">
      <c r="A117" s="26"/>
    </row>
    <row r="118">
      <c r="A118" s="26"/>
    </row>
    <row r="119">
      <c r="A119" s="26"/>
    </row>
    <row r="120">
      <c r="A120" s="26"/>
    </row>
    <row r="121">
      <c r="A121" s="26"/>
    </row>
    <row r="122">
      <c r="A122" s="26"/>
    </row>
    <row r="123">
      <c r="A123" s="26"/>
    </row>
    <row r="124">
      <c r="A124" s="26"/>
    </row>
    <row r="125">
      <c r="A125" s="26"/>
    </row>
    <row r="126">
      <c r="A126" s="26"/>
    </row>
    <row r="127">
      <c r="A127" s="26"/>
    </row>
    <row r="128">
      <c r="A128" s="26"/>
    </row>
    <row r="129">
      <c r="A129" s="26"/>
    </row>
    <row r="130">
      <c r="A130" s="26"/>
    </row>
    <row r="131">
      <c r="A131" s="26"/>
    </row>
    <row r="132">
      <c r="A132" s="26"/>
    </row>
    <row r="133">
      <c r="A133" s="26"/>
    </row>
    <row r="134">
      <c r="A134" s="26"/>
    </row>
    <row r="135">
      <c r="A135" s="26"/>
    </row>
    <row r="136">
      <c r="A136" s="26"/>
    </row>
    <row r="137">
      <c r="A137" s="26"/>
    </row>
    <row r="138">
      <c r="A138" s="26"/>
    </row>
    <row r="139">
      <c r="A139" s="26"/>
    </row>
    <row r="140">
      <c r="A140" s="26"/>
    </row>
    <row r="141">
      <c r="A141" s="26"/>
    </row>
    <row r="142">
      <c r="A142" s="26"/>
    </row>
    <row r="143">
      <c r="A143" s="26"/>
    </row>
    <row r="144">
      <c r="A144" s="26"/>
    </row>
    <row r="145">
      <c r="A145" s="26"/>
    </row>
    <row r="146">
      <c r="A146" s="26"/>
    </row>
    <row r="147">
      <c r="A147" s="26"/>
    </row>
    <row r="148">
      <c r="A148" s="26"/>
    </row>
    <row r="149">
      <c r="A149" s="26"/>
    </row>
    <row r="150">
      <c r="A150" s="26"/>
    </row>
    <row r="151">
      <c r="A151" s="26"/>
    </row>
    <row r="152">
      <c r="A152" s="26"/>
    </row>
    <row r="153">
      <c r="A153" s="26"/>
    </row>
    <row r="154">
      <c r="A154" s="26"/>
    </row>
    <row r="155">
      <c r="A155" s="26"/>
    </row>
    <row r="156">
      <c r="A156" s="26"/>
    </row>
    <row r="157">
      <c r="A157" s="26"/>
    </row>
    <row r="158">
      <c r="A158" s="26"/>
    </row>
    <row r="159">
      <c r="A159" s="26"/>
    </row>
    <row r="160">
      <c r="A160" s="26"/>
    </row>
    <row r="161">
      <c r="A161" s="26"/>
    </row>
    <row r="162">
      <c r="A162" s="26"/>
    </row>
    <row r="163">
      <c r="A163" s="26"/>
    </row>
    <row r="164">
      <c r="A164" s="26"/>
    </row>
    <row r="165">
      <c r="A165" s="26"/>
    </row>
    <row r="166">
      <c r="A166" s="26"/>
    </row>
    <row r="167">
      <c r="A167" s="26"/>
    </row>
    <row r="168">
      <c r="A168" s="26"/>
    </row>
    <row r="169">
      <c r="A169" s="26"/>
    </row>
    <row r="170">
      <c r="A170" s="26"/>
    </row>
    <row r="171">
      <c r="A171" s="26"/>
    </row>
    <row r="172">
      <c r="A172" s="26"/>
    </row>
    <row r="173">
      <c r="A173" s="26"/>
    </row>
    <row r="174">
      <c r="A174" s="26"/>
    </row>
    <row r="175">
      <c r="A175" s="26"/>
    </row>
    <row r="176">
      <c r="A176" s="26"/>
    </row>
    <row r="177">
      <c r="A177" s="26"/>
    </row>
    <row r="178">
      <c r="A178" s="26"/>
    </row>
    <row r="179">
      <c r="A179" s="26"/>
    </row>
    <row r="180">
      <c r="A180" s="26"/>
    </row>
    <row r="181">
      <c r="A181" s="26"/>
    </row>
    <row r="182">
      <c r="A182" s="26"/>
    </row>
    <row r="183">
      <c r="A183" s="26"/>
    </row>
    <row r="184">
      <c r="A184" s="26"/>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row r="999">
      <c r="A999" s="26"/>
    </row>
  </sheetData>
  <hyperlinks>
    <hyperlink r:id="rId1" ref="A2"/>
    <hyperlink r:id="rId2" ref="A3"/>
    <hyperlink r:id="rId3" ref="A4"/>
    <hyperlink r:id="rId4" ref="A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38"/>
    <col customWidth="1" min="4" max="4" width="46.88"/>
  </cols>
  <sheetData>
    <row r="1">
      <c r="A1" s="24" t="s">
        <v>28</v>
      </c>
      <c r="C1" s="26"/>
      <c r="E1" s="26"/>
      <c r="I1" s="26"/>
    </row>
    <row r="2">
      <c r="A2" s="27" t="s">
        <v>29</v>
      </c>
      <c r="B2" s="27" t="s">
        <v>30</v>
      </c>
      <c r="C2" s="28" t="s">
        <v>31</v>
      </c>
      <c r="D2" s="27" t="s">
        <v>32</v>
      </c>
      <c r="E2" s="27" t="s">
        <v>33</v>
      </c>
      <c r="F2" s="27" t="s">
        <v>34</v>
      </c>
      <c r="G2" s="27" t="s">
        <v>1</v>
      </c>
      <c r="H2" s="27" t="s">
        <v>2</v>
      </c>
      <c r="I2" s="27" t="s">
        <v>3</v>
      </c>
      <c r="J2" s="27" t="s">
        <v>35</v>
      </c>
      <c r="K2" s="29"/>
      <c r="L2" s="29"/>
      <c r="M2" s="29"/>
      <c r="N2" s="29"/>
      <c r="O2" s="29"/>
      <c r="P2" s="29"/>
      <c r="Q2" s="29"/>
      <c r="R2" s="29"/>
      <c r="S2" s="29"/>
      <c r="T2" s="29"/>
      <c r="U2" s="29"/>
      <c r="V2" s="29"/>
      <c r="W2" s="29"/>
      <c r="X2" s="29"/>
      <c r="Y2" s="29"/>
      <c r="Z2" s="29"/>
    </row>
    <row r="3">
      <c r="A3" s="30" t="s">
        <v>36</v>
      </c>
      <c r="B3" s="31" t="s">
        <v>37</v>
      </c>
      <c r="C3" s="32" t="s">
        <v>38</v>
      </c>
      <c r="D3" s="33" t="s">
        <v>39</v>
      </c>
      <c r="E3" s="32" t="s">
        <v>40</v>
      </c>
      <c r="F3" s="31" t="s">
        <v>41</v>
      </c>
      <c r="G3" s="34"/>
      <c r="H3" s="34"/>
      <c r="I3" s="35"/>
    </row>
    <row r="4">
      <c r="A4" s="30" t="s">
        <v>36</v>
      </c>
      <c r="B4" s="36" t="s">
        <v>42</v>
      </c>
      <c r="C4" s="37" t="s">
        <v>43</v>
      </c>
      <c r="D4" s="38" t="s">
        <v>44</v>
      </c>
      <c r="E4" s="37" t="s">
        <v>45</v>
      </c>
      <c r="F4" s="31" t="s">
        <v>41</v>
      </c>
      <c r="G4" s="39"/>
      <c r="H4" s="39"/>
      <c r="I4" s="40"/>
    </row>
    <row r="5">
      <c r="A5" s="30" t="s">
        <v>36</v>
      </c>
      <c r="B5" s="31" t="s">
        <v>42</v>
      </c>
      <c r="C5" s="32" t="s">
        <v>46</v>
      </c>
      <c r="D5" s="33" t="s">
        <v>47</v>
      </c>
      <c r="E5" s="32" t="s">
        <v>48</v>
      </c>
      <c r="F5" s="31" t="s">
        <v>41</v>
      </c>
      <c r="G5" s="34"/>
      <c r="H5" s="34"/>
      <c r="I5" s="35"/>
    </row>
    <row r="6">
      <c r="A6" s="30" t="s">
        <v>36</v>
      </c>
      <c r="B6" s="36" t="s">
        <v>49</v>
      </c>
      <c r="C6" s="37" t="s">
        <v>50</v>
      </c>
      <c r="D6" s="38" t="s">
        <v>51</v>
      </c>
      <c r="E6" s="37" t="s">
        <v>52</v>
      </c>
      <c r="F6" s="31" t="s">
        <v>41</v>
      </c>
      <c r="G6" s="39"/>
      <c r="H6" s="39"/>
      <c r="I6" s="40"/>
    </row>
    <row r="7">
      <c r="A7" s="30" t="s">
        <v>36</v>
      </c>
      <c r="B7" s="31" t="s">
        <v>53</v>
      </c>
      <c r="C7" s="32" t="s">
        <v>54</v>
      </c>
      <c r="D7" s="33" t="s">
        <v>55</v>
      </c>
      <c r="E7" s="32" t="s">
        <v>56</v>
      </c>
      <c r="F7" s="31" t="s">
        <v>41</v>
      </c>
      <c r="G7" s="34"/>
      <c r="H7" s="34"/>
      <c r="I7" s="35"/>
    </row>
    <row r="8">
      <c r="A8" s="30" t="s">
        <v>36</v>
      </c>
      <c r="B8" s="36" t="s">
        <v>57</v>
      </c>
      <c r="C8" s="37" t="s">
        <v>58</v>
      </c>
      <c r="D8" s="38" t="s">
        <v>59</v>
      </c>
      <c r="E8" s="37" t="s">
        <v>60</v>
      </c>
      <c r="F8" s="31" t="s">
        <v>41</v>
      </c>
      <c r="G8" s="39"/>
      <c r="H8" s="39"/>
      <c r="I8" s="40"/>
    </row>
    <row r="9">
      <c r="A9" s="30" t="s">
        <v>36</v>
      </c>
      <c r="B9" s="31" t="s">
        <v>57</v>
      </c>
      <c r="C9" s="32" t="s">
        <v>61</v>
      </c>
      <c r="D9" s="33" t="s">
        <v>62</v>
      </c>
      <c r="E9" s="32" t="s">
        <v>60</v>
      </c>
      <c r="F9" s="31" t="s">
        <v>41</v>
      </c>
      <c r="G9" s="34"/>
      <c r="H9" s="34"/>
      <c r="I9" s="35"/>
    </row>
    <row r="10">
      <c r="A10" s="30" t="s">
        <v>36</v>
      </c>
      <c r="B10" s="36" t="s">
        <v>63</v>
      </c>
      <c r="C10" s="37" t="s">
        <v>64</v>
      </c>
      <c r="D10" s="38" t="s">
        <v>65</v>
      </c>
      <c r="E10" s="37" t="s">
        <v>66</v>
      </c>
      <c r="F10" s="31" t="s">
        <v>41</v>
      </c>
      <c r="G10" s="39"/>
      <c r="H10" s="39"/>
      <c r="I10" s="40"/>
    </row>
    <row r="11">
      <c r="A11" s="30" t="s">
        <v>36</v>
      </c>
      <c r="B11" s="31" t="s">
        <v>67</v>
      </c>
      <c r="C11" s="32" t="s">
        <v>68</v>
      </c>
      <c r="D11" s="33" t="s">
        <v>69</v>
      </c>
      <c r="E11" s="32" t="s">
        <v>70</v>
      </c>
      <c r="F11" s="31" t="s">
        <v>41</v>
      </c>
      <c r="G11" s="34"/>
      <c r="H11" s="34"/>
      <c r="I11" s="35"/>
    </row>
    <row r="12">
      <c r="A12" s="30" t="s">
        <v>36</v>
      </c>
      <c r="B12" s="36" t="s">
        <v>71</v>
      </c>
      <c r="C12" s="37" t="s">
        <v>72</v>
      </c>
      <c r="D12" s="38" t="s">
        <v>73</v>
      </c>
      <c r="E12" s="37" t="s">
        <v>74</v>
      </c>
      <c r="F12" s="31" t="s">
        <v>41</v>
      </c>
      <c r="G12" s="39"/>
      <c r="H12" s="39"/>
      <c r="I12" s="40"/>
    </row>
    <row r="13">
      <c r="A13" s="30" t="s">
        <v>36</v>
      </c>
      <c r="B13" s="31" t="s">
        <v>75</v>
      </c>
      <c r="C13" s="32" t="s">
        <v>76</v>
      </c>
      <c r="D13" s="33" t="s">
        <v>77</v>
      </c>
      <c r="E13" s="32" t="s">
        <v>78</v>
      </c>
      <c r="F13" s="31" t="s">
        <v>41</v>
      </c>
      <c r="G13" s="34"/>
      <c r="H13" s="34"/>
      <c r="I13" s="35"/>
    </row>
    <row r="14">
      <c r="A14" s="30" t="s">
        <v>36</v>
      </c>
      <c r="B14" s="36" t="s">
        <v>79</v>
      </c>
      <c r="C14" s="37" t="s">
        <v>80</v>
      </c>
      <c r="D14" s="38" t="s">
        <v>81</v>
      </c>
      <c r="E14" s="37" t="s">
        <v>82</v>
      </c>
      <c r="F14" s="31" t="s">
        <v>41</v>
      </c>
      <c r="G14" s="39"/>
      <c r="H14" s="39"/>
      <c r="I14" s="40"/>
    </row>
    <row r="15">
      <c r="A15" s="30" t="s">
        <v>36</v>
      </c>
      <c r="B15" s="31" t="s">
        <v>83</v>
      </c>
      <c r="C15" s="32" t="s">
        <v>84</v>
      </c>
      <c r="D15" s="33" t="s">
        <v>85</v>
      </c>
      <c r="E15" s="32" t="s">
        <v>86</v>
      </c>
      <c r="F15" s="31" t="s">
        <v>41</v>
      </c>
      <c r="G15" s="34"/>
      <c r="H15" s="34"/>
      <c r="I15" s="35"/>
    </row>
    <row r="16">
      <c r="A16" s="30" t="s">
        <v>36</v>
      </c>
      <c r="B16" s="36" t="s">
        <v>87</v>
      </c>
      <c r="C16" s="37" t="s">
        <v>88</v>
      </c>
      <c r="D16" s="38" t="s">
        <v>89</v>
      </c>
      <c r="E16" s="37" t="s">
        <v>90</v>
      </c>
      <c r="F16" s="31" t="s">
        <v>41</v>
      </c>
      <c r="G16" s="39"/>
      <c r="H16" s="39"/>
      <c r="I16" s="40"/>
    </row>
    <row r="17">
      <c r="A17" s="30" t="s">
        <v>36</v>
      </c>
      <c r="B17" s="31" t="s">
        <v>91</v>
      </c>
      <c r="C17" s="32" t="s">
        <v>92</v>
      </c>
      <c r="D17" s="33" t="s">
        <v>93</v>
      </c>
      <c r="E17" s="32" t="s">
        <v>94</v>
      </c>
      <c r="F17" s="31" t="s">
        <v>41</v>
      </c>
      <c r="G17" s="34"/>
      <c r="H17" s="34"/>
      <c r="I17" s="35"/>
    </row>
    <row r="18">
      <c r="A18" s="30" t="s">
        <v>36</v>
      </c>
      <c r="B18" s="36" t="s">
        <v>95</v>
      </c>
      <c r="C18" s="37" t="s">
        <v>96</v>
      </c>
      <c r="D18" s="38" t="s">
        <v>97</v>
      </c>
      <c r="E18" s="37" t="s">
        <v>98</v>
      </c>
      <c r="F18" s="31" t="s">
        <v>41</v>
      </c>
      <c r="G18" s="36" t="s">
        <v>99</v>
      </c>
      <c r="H18" s="36" t="s">
        <v>100</v>
      </c>
      <c r="I18" s="41" t="s">
        <v>101</v>
      </c>
    </row>
    <row r="19">
      <c r="A19" s="30" t="s">
        <v>36</v>
      </c>
      <c r="B19" s="31" t="s">
        <v>102</v>
      </c>
      <c r="C19" s="32" t="s">
        <v>103</v>
      </c>
      <c r="D19" s="31" t="s">
        <v>104</v>
      </c>
      <c r="E19" s="32" t="s">
        <v>105</v>
      </c>
      <c r="F19" s="31" t="s">
        <v>41</v>
      </c>
      <c r="G19" s="31" t="s">
        <v>106</v>
      </c>
      <c r="H19" s="34"/>
      <c r="I19" s="42" t="s">
        <v>107</v>
      </c>
    </row>
    <row r="20">
      <c r="A20" s="30" t="s">
        <v>36</v>
      </c>
      <c r="B20" s="36" t="s">
        <v>108</v>
      </c>
      <c r="C20" s="37" t="s">
        <v>109</v>
      </c>
      <c r="D20" s="36" t="s">
        <v>110</v>
      </c>
      <c r="E20" s="37" t="s">
        <v>111</v>
      </c>
      <c r="F20" s="36" t="s">
        <v>112</v>
      </c>
      <c r="G20" s="37" t="s">
        <v>113</v>
      </c>
      <c r="H20" s="36" t="s">
        <v>114</v>
      </c>
      <c r="I20" s="41" t="s">
        <v>115</v>
      </c>
    </row>
    <row r="21">
      <c r="A21" s="30" t="s">
        <v>36</v>
      </c>
      <c r="B21" s="31" t="s">
        <v>116</v>
      </c>
      <c r="C21" s="32" t="s">
        <v>117</v>
      </c>
      <c r="D21" s="31" t="s">
        <v>118</v>
      </c>
      <c r="E21" s="32" t="s">
        <v>119</v>
      </c>
      <c r="F21" s="36" t="s">
        <v>112</v>
      </c>
      <c r="G21" s="32" t="s">
        <v>120</v>
      </c>
      <c r="H21" s="31" t="s">
        <v>121</v>
      </c>
      <c r="I21" s="42" t="s">
        <v>122</v>
      </c>
    </row>
    <row r="22">
      <c r="A22" s="30" t="s">
        <v>36</v>
      </c>
      <c r="B22" s="43"/>
      <c r="C22" s="44"/>
      <c r="D22" s="43"/>
      <c r="E22" s="44"/>
      <c r="F22" s="43"/>
      <c r="G22" s="44"/>
      <c r="H22" s="43"/>
      <c r="I22" s="45"/>
    </row>
    <row r="23">
      <c r="A23" s="30" t="s">
        <v>36</v>
      </c>
      <c r="B23" s="31" t="s">
        <v>123</v>
      </c>
      <c r="C23" s="32" t="s">
        <v>124</v>
      </c>
      <c r="D23" s="31" t="s">
        <v>125</v>
      </c>
      <c r="E23" s="32" t="s">
        <v>126</v>
      </c>
      <c r="F23" s="36" t="s">
        <v>112</v>
      </c>
      <c r="G23" s="32" t="s">
        <v>127</v>
      </c>
      <c r="H23" s="31" t="s">
        <v>128</v>
      </c>
      <c r="I23" s="42" t="s">
        <v>129</v>
      </c>
    </row>
    <row r="24">
      <c r="A24" s="30" t="s">
        <v>36</v>
      </c>
      <c r="B24" s="36" t="s">
        <v>130</v>
      </c>
      <c r="C24" s="37" t="s">
        <v>131</v>
      </c>
      <c r="D24" s="36" t="s">
        <v>132</v>
      </c>
      <c r="E24" s="46" t="s">
        <v>133</v>
      </c>
      <c r="F24" s="43"/>
      <c r="G24" s="37" t="s">
        <v>134</v>
      </c>
      <c r="H24" s="36" t="s">
        <v>135</v>
      </c>
      <c r="I24" s="41" t="s">
        <v>136</v>
      </c>
    </row>
    <row r="25">
      <c r="A25" s="30" t="s">
        <v>36</v>
      </c>
      <c r="B25" s="31" t="s">
        <v>137</v>
      </c>
      <c r="C25" s="32" t="s">
        <v>138</v>
      </c>
      <c r="D25" s="31" t="s">
        <v>139</v>
      </c>
      <c r="E25" s="32" t="s">
        <v>140</v>
      </c>
      <c r="F25" s="36" t="s">
        <v>112</v>
      </c>
      <c r="G25" s="32" t="s">
        <v>141</v>
      </c>
      <c r="H25" s="47" t="s">
        <v>142</v>
      </c>
      <c r="I25" s="48" t="s">
        <v>143</v>
      </c>
    </row>
    <row r="26">
      <c r="A26" s="30" t="s">
        <v>36</v>
      </c>
      <c r="B26" s="36" t="s">
        <v>144</v>
      </c>
      <c r="C26" s="37" t="s">
        <v>145</v>
      </c>
      <c r="D26" s="36" t="s">
        <v>146</v>
      </c>
      <c r="E26" s="37" t="s">
        <v>147</v>
      </c>
      <c r="F26" s="39"/>
      <c r="G26" s="49" t="s">
        <v>148</v>
      </c>
      <c r="H26" s="39"/>
      <c r="I26" s="40"/>
    </row>
    <row r="27">
      <c r="A27" s="30" t="s">
        <v>36</v>
      </c>
      <c r="B27" s="31" t="s">
        <v>149</v>
      </c>
      <c r="C27" s="32" t="s">
        <v>150</v>
      </c>
      <c r="D27" s="31" t="s">
        <v>151</v>
      </c>
      <c r="E27" s="32" t="s">
        <v>152</v>
      </c>
      <c r="F27" s="34"/>
      <c r="G27" s="34"/>
      <c r="H27" s="34"/>
      <c r="I27" s="35"/>
    </row>
    <row r="28">
      <c r="A28" s="30" t="s">
        <v>36</v>
      </c>
      <c r="B28" s="36" t="s">
        <v>153</v>
      </c>
      <c r="C28" s="37" t="s">
        <v>154</v>
      </c>
      <c r="D28" s="36" t="s">
        <v>155</v>
      </c>
      <c r="E28" s="37" t="s">
        <v>156</v>
      </c>
      <c r="F28" s="39"/>
      <c r="G28" s="39"/>
      <c r="H28" s="39"/>
      <c r="I28" s="40"/>
    </row>
    <row r="29">
      <c r="A29" s="30" t="s">
        <v>36</v>
      </c>
      <c r="B29" s="31" t="s">
        <v>157</v>
      </c>
      <c r="C29" s="32" t="s">
        <v>158</v>
      </c>
      <c r="D29" s="31" t="s">
        <v>159</v>
      </c>
      <c r="E29" s="32" t="s">
        <v>160</v>
      </c>
      <c r="F29" s="34"/>
      <c r="G29" s="34"/>
      <c r="H29" s="34"/>
      <c r="I29" s="35"/>
    </row>
    <row r="30">
      <c r="A30" s="30" t="s">
        <v>36</v>
      </c>
      <c r="B30" s="36" t="s">
        <v>161</v>
      </c>
      <c r="C30" s="37" t="s">
        <v>162</v>
      </c>
      <c r="D30" s="36" t="s">
        <v>163</v>
      </c>
      <c r="E30" s="37" t="s">
        <v>164</v>
      </c>
      <c r="F30" s="39"/>
      <c r="G30" s="39"/>
      <c r="H30" s="39"/>
      <c r="I30" s="40"/>
    </row>
    <row r="31">
      <c r="A31" s="30" t="s">
        <v>36</v>
      </c>
      <c r="B31" s="31" t="s">
        <v>165</v>
      </c>
      <c r="C31" s="32" t="s">
        <v>166</v>
      </c>
      <c r="D31" s="31" t="s">
        <v>167</v>
      </c>
      <c r="E31" s="32" t="s">
        <v>168</v>
      </c>
      <c r="F31" s="50"/>
      <c r="G31" s="51"/>
      <c r="H31" s="50"/>
      <c r="I31" s="35"/>
    </row>
    <row r="32">
      <c r="A32" s="30" t="s">
        <v>36</v>
      </c>
      <c r="B32" s="36" t="s">
        <v>169</v>
      </c>
      <c r="C32" s="37" t="s">
        <v>170</v>
      </c>
      <c r="D32" s="36" t="s">
        <v>171</v>
      </c>
      <c r="E32" s="37" t="s">
        <v>172</v>
      </c>
      <c r="F32" s="31" t="s">
        <v>41</v>
      </c>
      <c r="G32" s="37" t="s">
        <v>173</v>
      </c>
      <c r="H32" s="36" t="s">
        <v>174</v>
      </c>
      <c r="I32" s="45"/>
    </row>
    <row r="33">
      <c r="A33" s="30" t="s">
        <v>36</v>
      </c>
      <c r="B33" s="31" t="s">
        <v>175</v>
      </c>
      <c r="C33" s="32" t="s">
        <v>176</v>
      </c>
      <c r="D33" s="31" t="s">
        <v>177</v>
      </c>
      <c r="E33" s="32" t="s">
        <v>178</v>
      </c>
      <c r="F33" s="36" t="s">
        <v>112</v>
      </c>
      <c r="G33" s="52" t="s">
        <v>179</v>
      </c>
      <c r="H33" s="47" t="s">
        <v>180</v>
      </c>
      <c r="I33" s="48" t="s">
        <v>181</v>
      </c>
    </row>
    <row r="34">
      <c r="A34" s="30" t="s">
        <v>36</v>
      </c>
      <c r="B34" s="36" t="s">
        <v>182</v>
      </c>
      <c r="C34" s="37" t="s">
        <v>183</v>
      </c>
      <c r="D34" s="36" t="s">
        <v>184</v>
      </c>
      <c r="E34" s="37" t="s">
        <v>185</v>
      </c>
      <c r="F34" s="39"/>
      <c r="G34" s="39"/>
      <c r="H34" s="39"/>
      <c r="I34" s="40"/>
    </row>
    <row r="35">
      <c r="A35" s="30" t="s">
        <v>36</v>
      </c>
      <c r="B35" s="31" t="s">
        <v>186</v>
      </c>
      <c r="C35" s="32" t="s">
        <v>187</v>
      </c>
      <c r="D35" s="31" t="s">
        <v>188</v>
      </c>
      <c r="E35" s="32" t="s">
        <v>189</v>
      </c>
      <c r="F35" s="50"/>
      <c r="G35" s="34"/>
      <c r="H35" s="50"/>
      <c r="I35" s="53"/>
    </row>
    <row r="36">
      <c r="A36" s="30" t="s">
        <v>36</v>
      </c>
      <c r="B36" s="36" t="s">
        <v>190</v>
      </c>
      <c r="C36" s="37" t="s">
        <v>191</v>
      </c>
      <c r="D36" s="36" t="s">
        <v>192</v>
      </c>
      <c r="E36" s="37" t="s">
        <v>193</v>
      </c>
      <c r="F36" s="31" t="s">
        <v>41</v>
      </c>
      <c r="G36" s="39"/>
      <c r="H36" s="54" t="s">
        <v>194</v>
      </c>
      <c r="I36" s="41" t="s">
        <v>195</v>
      </c>
    </row>
    <row r="37">
      <c r="A37" s="30" t="s">
        <v>36</v>
      </c>
      <c r="B37" s="31" t="s">
        <v>196</v>
      </c>
      <c r="C37" s="32" t="s">
        <v>197</v>
      </c>
      <c r="D37" s="31" t="s">
        <v>198</v>
      </c>
      <c r="E37" s="32" t="s">
        <v>199</v>
      </c>
      <c r="F37" s="31" t="s">
        <v>41</v>
      </c>
      <c r="G37" s="34"/>
      <c r="H37" s="34"/>
      <c r="I37" s="42" t="s">
        <v>200</v>
      </c>
    </row>
    <row r="38">
      <c r="A38" s="30" t="s">
        <v>36</v>
      </c>
      <c r="B38" s="31" t="s">
        <v>201</v>
      </c>
      <c r="C38" s="37" t="s">
        <v>202</v>
      </c>
      <c r="D38" s="36" t="s">
        <v>203</v>
      </c>
      <c r="E38" s="32" t="s">
        <v>204</v>
      </c>
      <c r="F38" s="43"/>
      <c r="G38" s="43"/>
      <c r="H38" s="43"/>
      <c r="I38" s="41" t="s">
        <v>205</v>
      </c>
    </row>
    <row r="39">
      <c r="A39" s="30" t="s">
        <v>36</v>
      </c>
      <c r="B39" s="31" t="s">
        <v>206</v>
      </c>
      <c r="C39" s="32" t="s">
        <v>207</v>
      </c>
      <c r="D39" s="31" t="s">
        <v>208</v>
      </c>
      <c r="E39" s="32" t="s">
        <v>209</v>
      </c>
      <c r="F39" s="31" t="s">
        <v>41</v>
      </c>
      <c r="G39" s="47" t="s">
        <v>210</v>
      </c>
      <c r="H39" s="47" t="s">
        <v>211</v>
      </c>
      <c r="I39" s="48" t="s">
        <v>212</v>
      </c>
    </row>
    <row r="40">
      <c r="A40" s="30" t="s">
        <v>36</v>
      </c>
      <c r="B40" s="36" t="s">
        <v>213</v>
      </c>
      <c r="C40" s="37" t="s">
        <v>214</v>
      </c>
      <c r="D40" s="36" t="s">
        <v>215</v>
      </c>
      <c r="E40" s="37" t="s">
        <v>216</v>
      </c>
      <c r="F40" s="39"/>
      <c r="G40" s="39"/>
      <c r="H40" s="39"/>
      <c r="I40" s="40"/>
    </row>
    <row r="41">
      <c r="A41" s="30" t="s">
        <v>36</v>
      </c>
      <c r="B41" s="31" t="s">
        <v>217</v>
      </c>
      <c r="C41" s="32" t="s">
        <v>218</v>
      </c>
      <c r="D41" s="31" t="s">
        <v>219</v>
      </c>
      <c r="E41" s="32" t="s">
        <v>220</v>
      </c>
      <c r="F41" s="50"/>
      <c r="G41" s="50"/>
      <c r="H41" s="50"/>
      <c r="I41" s="53"/>
    </row>
    <row r="42">
      <c r="A42" s="30" t="s">
        <v>36</v>
      </c>
      <c r="B42" s="36" t="s">
        <v>221</v>
      </c>
      <c r="C42" s="37" t="s">
        <v>222</v>
      </c>
      <c r="D42" s="36" t="s">
        <v>223</v>
      </c>
      <c r="E42" s="37" t="s">
        <v>224</v>
      </c>
      <c r="F42" s="31" t="s">
        <v>41</v>
      </c>
      <c r="G42" s="37" t="s">
        <v>225</v>
      </c>
      <c r="H42" s="36" t="s">
        <v>211</v>
      </c>
      <c r="I42" s="36" t="s">
        <v>212</v>
      </c>
    </row>
    <row r="43">
      <c r="A43" s="30" t="s">
        <v>36</v>
      </c>
      <c r="B43" s="31" t="s">
        <v>226</v>
      </c>
      <c r="C43" s="32" t="s">
        <v>227</v>
      </c>
      <c r="D43" s="31" t="s">
        <v>228</v>
      </c>
      <c r="E43" s="32" t="s">
        <v>229</v>
      </c>
      <c r="F43" s="31" t="s">
        <v>41</v>
      </c>
      <c r="G43" s="32" t="s">
        <v>230</v>
      </c>
      <c r="H43" s="31" t="s">
        <v>231</v>
      </c>
      <c r="I43" s="31" t="s">
        <v>232</v>
      </c>
    </row>
    <row r="44">
      <c r="A44" s="30" t="s">
        <v>36</v>
      </c>
      <c r="B44" s="24" t="s">
        <v>233</v>
      </c>
      <c r="C44" s="25" t="s">
        <v>234</v>
      </c>
      <c r="D44" s="24" t="s">
        <v>235</v>
      </c>
      <c r="E44" s="25" t="s">
        <v>236</v>
      </c>
      <c r="F44" s="36" t="s">
        <v>112</v>
      </c>
      <c r="G44" s="55" t="s">
        <v>237</v>
      </c>
      <c r="H44" s="24" t="s">
        <v>238</v>
      </c>
      <c r="I44" s="23" t="s">
        <v>239</v>
      </c>
    </row>
    <row r="45">
      <c r="A45" s="24" t="s">
        <v>240</v>
      </c>
      <c r="B45" s="24" t="s">
        <v>241</v>
      </c>
      <c r="C45" s="25" t="s">
        <v>242</v>
      </c>
      <c r="D45" s="56" t="s">
        <v>243</v>
      </c>
      <c r="E45" s="25" t="s">
        <v>244</v>
      </c>
      <c r="F45" s="31" t="s">
        <v>41</v>
      </c>
      <c r="G45" s="23" t="s">
        <v>245</v>
      </c>
      <c r="H45" s="23" t="s">
        <v>246</v>
      </c>
      <c r="I45" s="23" t="s">
        <v>247</v>
      </c>
      <c r="J45" s="26"/>
      <c r="K45" s="26"/>
    </row>
    <row r="46">
      <c r="A46" s="24" t="s">
        <v>240</v>
      </c>
      <c r="B46" s="24" t="s">
        <v>248</v>
      </c>
      <c r="C46" s="25" t="s">
        <v>249</v>
      </c>
      <c r="D46" s="56" t="s">
        <v>250</v>
      </c>
      <c r="E46" s="25" t="s">
        <v>251</v>
      </c>
      <c r="F46" s="31" t="s">
        <v>41</v>
      </c>
      <c r="G46" s="23" t="s">
        <v>252</v>
      </c>
      <c r="H46" s="23" t="s">
        <v>253</v>
      </c>
      <c r="I46" s="23" t="s">
        <v>254</v>
      </c>
      <c r="J46" s="26"/>
      <c r="K46" s="26"/>
    </row>
    <row r="47">
      <c r="A47" s="24" t="s">
        <v>240</v>
      </c>
      <c r="B47" s="24" t="s">
        <v>255</v>
      </c>
      <c r="C47" s="25" t="s">
        <v>256</v>
      </c>
      <c r="D47" s="56" t="s">
        <v>257</v>
      </c>
      <c r="E47" s="25" t="s">
        <v>258</v>
      </c>
      <c r="F47" s="31" t="s">
        <v>41</v>
      </c>
      <c r="G47" s="23" t="s">
        <v>259</v>
      </c>
      <c r="H47" s="26"/>
      <c r="I47" s="23" t="s">
        <v>260</v>
      </c>
      <c r="J47" s="26"/>
      <c r="K47" s="26"/>
    </row>
    <row r="48">
      <c r="A48" s="24" t="s">
        <v>240</v>
      </c>
      <c r="B48" s="24" t="s">
        <v>261</v>
      </c>
      <c r="C48" s="25" t="s">
        <v>262</v>
      </c>
      <c r="D48" s="56" t="s">
        <v>263</v>
      </c>
      <c r="E48" s="25" t="s">
        <v>264</v>
      </c>
      <c r="F48" s="31" t="s">
        <v>41</v>
      </c>
      <c r="G48" s="23" t="s">
        <v>265</v>
      </c>
      <c r="H48" s="23" t="s">
        <v>266</v>
      </c>
      <c r="I48" s="25" t="s">
        <v>267</v>
      </c>
      <c r="J48" s="26"/>
      <c r="K48" s="26"/>
    </row>
    <row r="49">
      <c r="A49" s="24" t="s">
        <v>240</v>
      </c>
      <c r="B49" s="24" t="s">
        <v>268</v>
      </c>
      <c r="C49" s="25" t="s">
        <v>269</v>
      </c>
      <c r="D49" s="56" t="s">
        <v>270</v>
      </c>
      <c r="E49" s="25" t="s">
        <v>271</v>
      </c>
      <c r="F49" s="31" t="s">
        <v>41</v>
      </c>
      <c r="G49" s="23" t="s">
        <v>272</v>
      </c>
      <c r="H49" s="23" t="s">
        <v>273</v>
      </c>
      <c r="I49" s="23" t="s">
        <v>274</v>
      </c>
      <c r="J49" s="26"/>
      <c r="K49" s="26"/>
    </row>
    <row r="50">
      <c r="A50" s="24" t="s">
        <v>240</v>
      </c>
      <c r="B50" s="24" t="s">
        <v>275</v>
      </c>
      <c r="C50" s="25" t="s">
        <v>276</v>
      </c>
      <c r="D50" s="56" t="s">
        <v>277</v>
      </c>
      <c r="E50" s="25" t="s">
        <v>278</v>
      </c>
      <c r="F50" s="31" t="s">
        <v>41</v>
      </c>
      <c r="G50" s="23" t="s">
        <v>279</v>
      </c>
      <c r="H50" s="23" t="s">
        <v>280</v>
      </c>
      <c r="I50" s="23" t="s">
        <v>281</v>
      </c>
      <c r="J50" s="26"/>
      <c r="K50" s="26"/>
    </row>
    <row r="51">
      <c r="A51" s="24" t="s">
        <v>240</v>
      </c>
      <c r="B51" s="24" t="s">
        <v>282</v>
      </c>
      <c r="C51" s="25" t="s">
        <v>283</v>
      </c>
      <c r="D51" s="56" t="s">
        <v>284</v>
      </c>
      <c r="E51" s="25" t="s">
        <v>285</v>
      </c>
      <c r="F51" s="31" t="s">
        <v>41</v>
      </c>
      <c r="G51" s="23" t="s">
        <v>286</v>
      </c>
      <c r="H51" s="26"/>
      <c r="I51" s="23" t="s">
        <v>287</v>
      </c>
      <c r="J51" s="26"/>
      <c r="K51" s="26"/>
    </row>
    <row r="52">
      <c r="A52" s="24" t="s">
        <v>240</v>
      </c>
      <c r="B52" s="24" t="s">
        <v>288</v>
      </c>
      <c r="C52" s="25" t="s">
        <v>289</v>
      </c>
      <c r="D52" s="56" t="s">
        <v>290</v>
      </c>
      <c r="E52" s="25" t="s">
        <v>291</v>
      </c>
      <c r="F52" s="36" t="s">
        <v>112</v>
      </c>
      <c r="G52" s="23" t="s">
        <v>292</v>
      </c>
      <c r="H52" s="26"/>
      <c r="I52" s="23" t="s">
        <v>293</v>
      </c>
      <c r="J52" s="26"/>
      <c r="K52" s="26"/>
    </row>
    <row r="53">
      <c r="A53" s="24" t="s">
        <v>240</v>
      </c>
      <c r="B53" s="24" t="s">
        <v>294</v>
      </c>
      <c r="C53" s="25" t="s">
        <v>295</v>
      </c>
      <c r="D53" s="56" t="s">
        <v>296</v>
      </c>
      <c r="E53" s="25" t="s">
        <v>297</v>
      </c>
      <c r="F53" s="36" t="s">
        <v>112</v>
      </c>
      <c r="G53" s="23" t="s">
        <v>298</v>
      </c>
      <c r="H53" s="23" t="s">
        <v>299</v>
      </c>
      <c r="I53" s="23" t="s">
        <v>300</v>
      </c>
      <c r="J53" s="26"/>
      <c r="K53" s="26"/>
    </row>
    <row r="54">
      <c r="A54" s="24" t="s">
        <v>240</v>
      </c>
      <c r="B54" s="24" t="s">
        <v>301</v>
      </c>
      <c r="C54" s="25" t="s">
        <v>302</v>
      </c>
      <c r="D54" s="56" t="s">
        <v>303</v>
      </c>
      <c r="E54" s="25" t="s">
        <v>304</v>
      </c>
      <c r="F54" s="36" t="s">
        <v>112</v>
      </c>
      <c r="G54" s="23" t="s">
        <v>305</v>
      </c>
      <c r="H54" s="23" t="s">
        <v>306</v>
      </c>
      <c r="I54" s="23" t="s">
        <v>307</v>
      </c>
      <c r="J54" s="26"/>
      <c r="K54" s="26"/>
    </row>
    <row r="55">
      <c r="A55" s="24" t="s">
        <v>240</v>
      </c>
      <c r="B55" s="24" t="s">
        <v>308</v>
      </c>
      <c r="C55" s="25" t="s">
        <v>309</v>
      </c>
      <c r="D55" s="56" t="s">
        <v>310</v>
      </c>
      <c r="E55" s="25" t="s">
        <v>311</v>
      </c>
      <c r="F55" s="36" t="s">
        <v>112</v>
      </c>
      <c r="G55" s="23" t="s">
        <v>312</v>
      </c>
      <c r="H55" s="23" t="s">
        <v>313</v>
      </c>
      <c r="I55" s="23" t="s">
        <v>314</v>
      </c>
      <c r="J55" s="26"/>
      <c r="K55" s="26"/>
    </row>
    <row r="56">
      <c r="A56" s="24" t="s">
        <v>240</v>
      </c>
      <c r="B56" s="24" t="s">
        <v>315</v>
      </c>
      <c r="C56" s="25" t="s">
        <v>316</v>
      </c>
      <c r="D56" s="56" t="s">
        <v>317</v>
      </c>
      <c r="E56" s="25" t="s">
        <v>318</v>
      </c>
      <c r="F56" s="36" t="s">
        <v>112</v>
      </c>
      <c r="G56" s="23" t="s">
        <v>319</v>
      </c>
      <c r="H56" s="23" t="s">
        <v>320</v>
      </c>
      <c r="I56" s="23" t="s">
        <v>321</v>
      </c>
      <c r="J56" s="26"/>
      <c r="K56" s="26"/>
    </row>
    <row r="57">
      <c r="A57" s="24" t="s">
        <v>240</v>
      </c>
      <c r="B57" s="24" t="s">
        <v>322</v>
      </c>
      <c r="C57" s="25" t="s">
        <v>323</v>
      </c>
      <c r="D57" s="56" t="s">
        <v>324</v>
      </c>
      <c r="E57" s="25" t="s">
        <v>325</v>
      </c>
      <c r="F57" s="36" t="s">
        <v>112</v>
      </c>
      <c r="G57" s="23" t="s">
        <v>326</v>
      </c>
      <c r="H57" s="23" t="s">
        <v>327</v>
      </c>
      <c r="I57" s="23" t="s">
        <v>328</v>
      </c>
      <c r="J57" s="26"/>
      <c r="K57" s="26"/>
    </row>
    <row r="58">
      <c r="A58" s="24" t="s">
        <v>240</v>
      </c>
      <c r="B58" s="24" t="s">
        <v>329</v>
      </c>
      <c r="C58" s="25" t="s">
        <v>330</v>
      </c>
      <c r="D58" s="56" t="s">
        <v>331</v>
      </c>
      <c r="E58" s="25" t="s">
        <v>332</v>
      </c>
      <c r="F58" s="36" t="s">
        <v>112</v>
      </c>
      <c r="G58" s="23" t="s">
        <v>333</v>
      </c>
      <c r="H58" s="26"/>
      <c r="I58" s="25" t="s">
        <v>334</v>
      </c>
      <c r="J58" s="26"/>
      <c r="K58" s="26"/>
    </row>
    <row r="59">
      <c r="A59" s="24" t="s">
        <v>240</v>
      </c>
      <c r="B59" s="24" t="s">
        <v>335</v>
      </c>
      <c r="C59" s="25" t="s">
        <v>336</v>
      </c>
      <c r="D59" s="56" t="s">
        <v>337</v>
      </c>
      <c r="E59" s="25" t="s">
        <v>338</v>
      </c>
      <c r="F59" s="36" t="s">
        <v>112</v>
      </c>
      <c r="G59" s="23" t="s">
        <v>339</v>
      </c>
      <c r="H59" s="23" t="s">
        <v>340</v>
      </c>
      <c r="I59" s="25" t="s">
        <v>341</v>
      </c>
      <c r="J59" s="26"/>
      <c r="K59" s="26"/>
    </row>
    <row r="60">
      <c r="A60" s="24" t="s">
        <v>240</v>
      </c>
      <c r="B60" s="24" t="s">
        <v>342</v>
      </c>
      <c r="C60" s="25" t="s">
        <v>343</v>
      </c>
      <c r="D60" s="56" t="s">
        <v>344</v>
      </c>
      <c r="E60" s="25" t="s">
        <v>345</v>
      </c>
      <c r="F60" s="36" t="s">
        <v>112</v>
      </c>
      <c r="G60" s="23" t="s">
        <v>346</v>
      </c>
      <c r="H60" s="23" t="s">
        <v>347</v>
      </c>
      <c r="I60" s="23" t="s">
        <v>348</v>
      </c>
      <c r="J60" s="26"/>
      <c r="K60" s="26"/>
    </row>
    <row r="61">
      <c r="A61" s="24" t="s">
        <v>240</v>
      </c>
      <c r="B61" s="24" t="s">
        <v>349</v>
      </c>
      <c r="C61" s="25" t="s">
        <v>350</v>
      </c>
      <c r="D61" s="56" t="s">
        <v>351</v>
      </c>
      <c r="E61" s="25" t="s">
        <v>352</v>
      </c>
      <c r="F61" s="36" t="s">
        <v>112</v>
      </c>
      <c r="G61" s="26"/>
      <c r="H61" s="23" t="s">
        <v>353</v>
      </c>
      <c r="I61" s="23" t="s">
        <v>354</v>
      </c>
      <c r="J61" s="26"/>
      <c r="K61" s="26"/>
    </row>
    <row r="62">
      <c r="A62" s="24" t="s">
        <v>240</v>
      </c>
      <c r="B62" s="24" t="s">
        <v>355</v>
      </c>
      <c r="C62" s="25" t="s">
        <v>356</v>
      </c>
      <c r="D62" s="56" t="s">
        <v>357</v>
      </c>
      <c r="E62" s="25" t="s">
        <v>358</v>
      </c>
      <c r="F62" s="57"/>
      <c r="I62" s="23" t="s">
        <v>359</v>
      </c>
    </row>
    <row r="63">
      <c r="A63" s="24" t="s">
        <v>240</v>
      </c>
      <c r="B63" s="24" t="s">
        <v>360</v>
      </c>
      <c r="C63" s="25" t="s">
        <v>361</v>
      </c>
      <c r="D63" s="56" t="s">
        <v>362</v>
      </c>
      <c r="E63" s="25" t="s">
        <v>363</v>
      </c>
      <c r="F63" s="57"/>
      <c r="H63" s="24" t="s">
        <v>364</v>
      </c>
      <c r="I63" s="23" t="s">
        <v>365</v>
      </c>
      <c r="J63" s="24" t="s">
        <v>366</v>
      </c>
      <c r="K63" s="24" t="s">
        <v>367</v>
      </c>
    </row>
    <row r="64">
      <c r="A64" s="24" t="s">
        <v>368</v>
      </c>
      <c r="B64" s="23" t="s">
        <v>369</v>
      </c>
      <c r="C64" s="25" t="s">
        <v>370</v>
      </c>
      <c r="D64" s="23" t="s">
        <v>371</v>
      </c>
      <c r="E64" s="25" t="s">
        <v>372</v>
      </c>
      <c r="F64" s="36" t="s">
        <v>112</v>
      </c>
      <c r="G64" s="58" t="s">
        <v>373</v>
      </c>
      <c r="H64" s="59" t="s">
        <v>374</v>
      </c>
      <c r="I64" s="60" t="s">
        <v>375</v>
      </c>
      <c r="J64" s="59"/>
      <c r="K64" s="59"/>
    </row>
    <row r="65">
      <c r="A65" s="24" t="s">
        <v>368</v>
      </c>
      <c r="B65" s="23" t="s">
        <v>376</v>
      </c>
      <c r="C65" s="25" t="s">
        <v>377</v>
      </c>
      <c r="D65" s="23" t="s">
        <v>378</v>
      </c>
      <c r="E65" s="25" t="s">
        <v>379</v>
      </c>
      <c r="F65" s="36" t="s">
        <v>112</v>
      </c>
      <c r="G65" s="61" t="s">
        <v>380</v>
      </c>
      <c r="H65" s="59" t="s">
        <v>381</v>
      </c>
      <c r="I65" s="60" t="s">
        <v>382</v>
      </c>
      <c r="J65" s="59"/>
      <c r="K65" s="59"/>
    </row>
    <row r="66">
      <c r="A66" s="24" t="s">
        <v>368</v>
      </c>
      <c r="B66" s="23" t="s">
        <v>383</v>
      </c>
      <c r="C66" s="25" t="s">
        <v>384</v>
      </c>
      <c r="D66" s="23" t="s">
        <v>385</v>
      </c>
      <c r="E66" s="25" t="s">
        <v>386</v>
      </c>
      <c r="F66" s="36" t="s">
        <v>112</v>
      </c>
      <c r="G66" s="58" t="s">
        <v>387</v>
      </c>
      <c r="H66" s="59"/>
      <c r="I66" s="60" t="s">
        <v>388</v>
      </c>
      <c r="J66" s="59"/>
      <c r="K66" s="59"/>
    </row>
    <row r="67">
      <c r="A67" s="24" t="s">
        <v>368</v>
      </c>
      <c r="B67" s="23" t="s">
        <v>389</v>
      </c>
      <c r="C67" s="25" t="s">
        <v>390</v>
      </c>
      <c r="D67" s="23" t="s">
        <v>391</v>
      </c>
      <c r="E67" s="25" t="s">
        <v>392</v>
      </c>
      <c r="F67" s="36" t="s">
        <v>112</v>
      </c>
      <c r="G67" s="58" t="s">
        <v>393</v>
      </c>
      <c r="H67" s="59" t="s">
        <v>394</v>
      </c>
      <c r="I67" s="60" t="s">
        <v>395</v>
      </c>
      <c r="J67" s="59"/>
      <c r="K67" s="59"/>
    </row>
    <row r="68">
      <c r="A68" s="24" t="s">
        <v>368</v>
      </c>
      <c r="B68" s="23" t="s">
        <v>396</v>
      </c>
      <c r="C68" s="25" t="s">
        <v>397</v>
      </c>
      <c r="D68" s="23" t="s">
        <v>398</v>
      </c>
      <c r="E68" s="25" t="s">
        <v>399</v>
      </c>
      <c r="F68" s="36" t="s">
        <v>112</v>
      </c>
      <c r="G68" s="61" t="s">
        <v>400</v>
      </c>
      <c r="H68" s="59" t="s">
        <v>401</v>
      </c>
      <c r="I68" s="60" t="s">
        <v>402</v>
      </c>
      <c r="J68" s="59"/>
      <c r="K68" s="59"/>
    </row>
    <row r="69">
      <c r="A69" s="24" t="s">
        <v>368</v>
      </c>
      <c r="B69" s="23" t="s">
        <v>403</v>
      </c>
      <c r="C69" s="25" t="s">
        <v>404</v>
      </c>
      <c r="D69" s="23" t="s">
        <v>405</v>
      </c>
      <c r="E69" s="25" t="s">
        <v>406</v>
      </c>
      <c r="F69" s="31" t="s">
        <v>41</v>
      </c>
      <c r="G69" s="61" t="s">
        <v>407</v>
      </c>
      <c r="H69" s="59" t="s">
        <v>408</v>
      </c>
      <c r="I69" s="60" t="s">
        <v>409</v>
      </c>
      <c r="J69" s="59"/>
      <c r="K69" s="59"/>
    </row>
    <row r="70">
      <c r="A70" s="24" t="s">
        <v>368</v>
      </c>
      <c r="B70" s="23" t="s">
        <v>149</v>
      </c>
      <c r="C70" s="25" t="s">
        <v>150</v>
      </c>
      <c r="D70" s="23" t="s">
        <v>151</v>
      </c>
      <c r="E70" s="25" t="s">
        <v>152</v>
      </c>
      <c r="F70" s="59"/>
      <c r="G70" s="59"/>
      <c r="H70" s="59"/>
      <c r="I70" s="59"/>
      <c r="J70" s="59"/>
      <c r="K70" s="59"/>
    </row>
    <row r="71">
      <c r="A71" s="24" t="s">
        <v>368</v>
      </c>
      <c r="B71" s="23" t="s">
        <v>410</v>
      </c>
      <c r="C71" s="25" t="s">
        <v>411</v>
      </c>
      <c r="D71" s="23" t="s">
        <v>412</v>
      </c>
      <c r="E71" s="25" t="s">
        <v>413</v>
      </c>
      <c r="F71" s="59"/>
      <c r="G71" s="59"/>
      <c r="H71" s="59"/>
      <c r="I71" s="59" t="s">
        <v>414</v>
      </c>
      <c r="J71" s="59"/>
      <c r="K71" s="59"/>
    </row>
    <row r="72">
      <c r="A72" s="24" t="s">
        <v>368</v>
      </c>
      <c r="B72" s="23" t="s">
        <v>415</v>
      </c>
      <c r="C72" s="25" t="s">
        <v>416</v>
      </c>
      <c r="D72" s="23" t="s">
        <v>417</v>
      </c>
      <c r="E72" s="25" t="s">
        <v>418</v>
      </c>
      <c r="F72" s="59"/>
      <c r="G72" s="58" t="s">
        <v>419</v>
      </c>
      <c r="H72" s="59" t="s">
        <v>420</v>
      </c>
      <c r="I72" s="60" t="s">
        <v>421</v>
      </c>
      <c r="J72" s="59"/>
      <c r="K72" s="59"/>
    </row>
    <row r="73">
      <c r="A73" s="24" t="s">
        <v>368</v>
      </c>
      <c r="B73" s="23" t="s">
        <v>422</v>
      </c>
      <c r="C73" s="25" t="s">
        <v>423</v>
      </c>
      <c r="D73" s="23" t="s">
        <v>424</v>
      </c>
      <c r="E73" s="25" t="s">
        <v>425</v>
      </c>
      <c r="F73" s="59"/>
      <c r="G73" s="59"/>
      <c r="H73" s="59"/>
      <c r="I73" s="59" t="s">
        <v>426</v>
      </c>
      <c r="J73" s="59"/>
      <c r="K73" s="59"/>
    </row>
    <row r="74">
      <c r="A74" s="24" t="s">
        <v>368</v>
      </c>
      <c r="B74" s="23" t="s">
        <v>427</v>
      </c>
      <c r="C74" s="25" t="s">
        <v>428</v>
      </c>
      <c r="D74" s="23" t="s">
        <v>429</v>
      </c>
      <c r="E74" s="25" t="s">
        <v>430</v>
      </c>
      <c r="F74" s="36" t="s">
        <v>112</v>
      </c>
      <c r="G74" s="58" t="s">
        <v>431</v>
      </c>
      <c r="H74" s="59"/>
      <c r="I74" s="60"/>
      <c r="J74" s="59"/>
      <c r="K74" s="59"/>
    </row>
    <row r="75">
      <c r="A75" s="24" t="s">
        <v>368</v>
      </c>
      <c r="B75" s="23" t="s">
        <v>432</v>
      </c>
      <c r="C75" s="25" t="s">
        <v>433</v>
      </c>
      <c r="D75" s="23" t="s">
        <v>434</v>
      </c>
      <c r="E75" s="25" t="s">
        <v>435</v>
      </c>
      <c r="F75" s="36" t="s">
        <v>112</v>
      </c>
      <c r="G75" s="58" t="s">
        <v>431</v>
      </c>
      <c r="H75" s="59"/>
      <c r="I75" s="60"/>
      <c r="J75" s="59"/>
      <c r="K75" s="59"/>
    </row>
    <row r="76">
      <c r="A76" s="24" t="s">
        <v>368</v>
      </c>
      <c r="B76" s="23" t="s">
        <v>436</v>
      </c>
      <c r="C76" s="25" t="s">
        <v>437</v>
      </c>
      <c r="D76" s="23" t="s">
        <v>438</v>
      </c>
      <c r="E76" s="25" t="s">
        <v>439</v>
      </c>
      <c r="F76" s="36" t="s">
        <v>112</v>
      </c>
      <c r="G76" s="58" t="s">
        <v>440</v>
      </c>
      <c r="H76" s="59"/>
      <c r="I76" s="60"/>
      <c r="J76" s="59"/>
      <c r="K76" s="59"/>
    </row>
    <row r="77">
      <c r="A77" s="24" t="s">
        <v>368</v>
      </c>
      <c r="B77" s="23" t="s">
        <v>441</v>
      </c>
      <c r="C77" s="25" t="s">
        <v>442</v>
      </c>
      <c r="D77" s="23" t="s">
        <v>443</v>
      </c>
      <c r="E77" s="25" t="s">
        <v>444</v>
      </c>
      <c r="F77" s="57"/>
      <c r="I77" s="26"/>
    </row>
    <row r="78">
      <c r="A78" s="24" t="s">
        <v>445</v>
      </c>
      <c r="B78" s="24" t="s">
        <v>446</v>
      </c>
      <c r="C78" s="25" t="s">
        <v>447</v>
      </c>
      <c r="D78" s="62" t="s">
        <v>448</v>
      </c>
      <c r="E78" s="25" t="s">
        <v>449</v>
      </c>
      <c r="F78" s="31" t="s">
        <v>41</v>
      </c>
      <c r="G78" s="63" t="s">
        <v>450</v>
      </c>
      <c r="H78" s="26"/>
      <c r="I78" s="63" t="s">
        <v>451</v>
      </c>
    </row>
    <row r="79">
      <c r="A79" s="24" t="s">
        <v>445</v>
      </c>
      <c r="B79" s="24" t="s">
        <v>452</v>
      </c>
      <c r="C79" s="25" t="s">
        <v>453</v>
      </c>
      <c r="D79" s="62" t="s">
        <v>454</v>
      </c>
      <c r="E79" s="25" t="s">
        <v>455</v>
      </c>
      <c r="F79" s="31" t="s">
        <v>41</v>
      </c>
      <c r="G79" s="63" t="s">
        <v>456</v>
      </c>
      <c r="H79" s="26" t="s">
        <v>457</v>
      </c>
      <c r="I79" s="63" t="s">
        <v>458</v>
      </c>
    </row>
    <row r="80">
      <c r="A80" s="24" t="s">
        <v>445</v>
      </c>
      <c r="B80" s="24" t="s">
        <v>459</v>
      </c>
      <c r="C80" s="25" t="s">
        <v>460</v>
      </c>
      <c r="D80" s="62" t="s">
        <v>461</v>
      </c>
      <c r="E80" s="25" t="s">
        <v>462</v>
      </c>
      <c r="F80" s="31" t="s">
        <v>41</v>
      </c>
      <c r="G80" s="63" t="s">
        <v>463</v>
      </c>
      <c r="H80" s="26"/>
      <c r="I80" s="63"/>
    </row>
    <row r="81">
      <c r="A81" s="24" t="s">
        <v>445</v>
      </c>
      <c r="B81" s="24" t="s">
        <v>464</v>
      </c>
      <c r="C81" s="25" t="s">
        <v>465</v>
      </c>
      <c r="D81" s="62" t="s">
        <v>466</v>
      </c>
      <c r="E81" s="25" t="s">
        <v>467</v>
      </c>
      <c r="F81" s="31" t="s">
        <v>41</v>
      </c>
      <c r="G81" s="63" t="s">
        <v>468</v>
      </c>
      <c r="H81" s="26" t="s">
        <v>469</v>
      </c>
      <c r="I81" s="63" t="s">
        <v>470</v>
      </c>
    </row>
    <row r="82">
      <c r="A82" s="24" t="s">
        <v>445</v>
      </c>
      <c r="B82" s="24" t="s">
        <v>471</v>
      </c>
      <c r="C82" s="25" t="s">
        <v>472</v>
      </c>
      <c r="D82" s="62" t="s">
        <v>473</v>
      </c>
      <c r="E82" s="25" t="s">
        <v>474</v>
      </c>
      <c r="F82" s="31" t="s">
        <v>41</v>
      </c>
      <c r="G82" s="63" t="s">
        <v>475</v>
      </c>
      <c r="H82" s="26" t="s">
        <v>476</v>
      </c>
      <c r="I82" s="63" t="s">
        <v>477</v>
      </c>
    </row>
    <row r="83">
      <c r="A83" s="24" t="s">
        <v>445</v>
      </c>
      <c r="B83" s="24" t="s">
        <v>261</v>
      </c>
      <c r="C83" s="25" t="s">
        <v>262</v>
      </c>
      <c r="D83" s="62" t="s">
        <v>263</v>
      </c>
      <c r="E83" s="25" t="s">
        <v>264</v>
      </c>
      <c r="F83" s="31" t="s">
        <v>41</v>
      </c>
      <c r="G83" s="63" t="s">
        <v>265</v>
      </c>
      <c r="H83" s="26" t="s">
        <v>266</v>
      </c>
      <c r="I83" s="63" t="s">
        <v>267</v>
      </c>
    </row>
    <row r="84">
      <c r="A84" s="24" t="s">
        <v>445</v>
      </c>
      <c r="B84" s="24" t="s">
        <v>268</v>
      </c>
      <c r="C84" s="25" t="s">
        <v>269</v>
      </c>
      <c r="D84" s="62" t="s">
        <v>270</v>
      </c>
      <c r="E84" s="25" t="s">
        <v>271</v>
      </c>
      <c r="F84" s="31" t="s">
        <v>41</v>
      </c>
      <c r="G84" s="63" t="s">
        <v>272</v>
      </c>
      <c r="H84" s="26" t="s">
        <v>273</v>
      </c>
      <c r="I84" s="63" t="s">
        <v>274</v>
      </c>
    </row>
    <row r="85">
      <c r="A85" s="24" t="s">
        <v>445</v>
      </c>
      <c r="B85" s="24" t="s">
        <v>275</v>
      </c>
      <c r="C85" s="25" t="s">
        <v>276</v>
      </c>
      <c r="D85" s="62" t="s">
        <v>277</v>
      </c>
      <c r="E85" s="25" t="s">
        <v>278</v>
      </c>
      <c r="F85" s="31" t="s">
        <v>41</v>
      </c>
      <c r="G85" s="63" t="s">
        <v>279</v>
      </c>
      <c r="H85" s="26" t="s">
        <v>280</v>
      </c>
      <c r="I85" s="63" t="s">
        <v>281</v>
      </c>
    </row>
    <row r="86">
      <c r="A86" s="24" t="s">
        <v>445</v>
      </c>
      <c r="B86" s="24" t="s">
        <v>478</v>
      </c>
      <c r="C86" s="25" t="s">
        <v>479</v>
      </c>
      <c r="D86" s="62" t="s">
        <v>480</v>
      </c>
      <c r="E86" s="25" t="s">
        <v>481</v>
      </c>
      <c r="F86" s="31" t="s">
        <v>41</v>
      </c>
      <c r="G86" s="63" t="s">
        <v>482</v>
      </c>
      <c r="H86" s="26" t="s">
        <v>483</v>
      </c>
      <c r="I86" s="63" t="s">
        <v>483</v>
      </c>
    </row>
    <row r="87">
      <c r="A87" s="24" t="s">
        <v>445</v>
      </c>
      <c r="B87" s="24" t="s">
        <v>484</v>
      </c>
      <c r="C87" s="25" t="s">
        <v>485</v>
      </c>
      <c r="D87" s="62" t="s">
        <v>486</v>
      </c>
      <c r="E87" s="25" t="s">
        <v>487</v>
      </c>
      <c r="F87" s="36" t="s">
        <v>112</v>
      </c>
      <c r="G87" s="26" t="s">
        <v>488</v>
      </c>
      <c r="H87" s="26" t="s">
        <v>489</v>
      </c>
      <c r="I87" s="63" t="s">
        <v>490</v>
      </c>
    </row>
    <row r="88">
      <c r="A88" s="24" t="s">
        <v>491</v>
      </c>
      <c r="B88" s="24" t="s">
        <v>268</v>
      </c>
      <c r="C88" s="25" t="s">
        <v>269</v>
      </c>
      <c r="D88" s="58" t="s">
        <v>270</v>
      </c>
      <c r="E88" s="25" t="s">
        <v>271</v>
      </c>
      <c r="F88" s="31" t="s">
        <v>41</v>
      </c>
      <c r="G88" s="24" t="s">
        <v>272</v>
      </c>
      <c r="H88" s="24" t="s">
        <v>273</v>
      </c>
      <c r="I88" s="23" t="s">
        <v>274</v>
      </c>
    </row>
    <row r="89">
      <c r="A89" s="24" t="s">
        <v>491</v>
      </c>
      <c r="B89" s="24" t="s">
        <v>492</v>
      </c>
      <c r="C89" s="25" t="s">
        <v>493</v>
      </c>
      <c r="D89" s="58" t="s">
        <v>494</v>
      </c>
      <c r="E89" s="25" t="s">
        <v>495</v>
      </c>
      <c r="F89" s="57"/>
      <c r="I89" s="26"/>
    </row>
    <row r="90">
      <c r="A90" s="24" t="s">
        <v>491</v>
      </c>
      <c r="B90" s="24" t="s">
        <v>496</v>
      </c>
      <c r="C90" s="25" t="s">
        <v>497</v>
      </c>
      <c r="D90" s="58" t="s">
        <v>498</v>
      </c>
      <c r="E90" s="25" t="s">
        <v>499</v>
      </c>
      <c r="F90" s="57"/>
      <c r="G90" s="55" t="s">
        <v>500</v>
      </c>
      <c r="H90" s="24" t="s">
        <v>501</v>
      </c>
      <c r="I90" s="23" t="s">
        <v>502</v>
      </c>
    </row>
    <row r="91">
      <c r="A91" s="24" t="s">
        <v>491</v>
      </c>
      <c r="B91" s="24" t="s">
        <v>503</v>
      </c>
      <c r="C91" s="25" t="s">
        <v>504</v>
      </c>
      <c r="D91" s="58" t="s">
        <v>505</v>
      </c>
      <c r="E91" s="25" t="s">
        <v>506</v>
      </c>
      <c r="F91" s="36" t="s">
        <v>112</v>
      </c>
      <c r="G91" s="24" t="s">
        <v>507</v>
      </c>
      <c r="H91" s="24" t="s">
        <v>508</v>
      </c>
      <c r="I91" s="23" t="s">
        <v>509</v>
      </c>
    </row>
    <row r="92">
      <c r="A92" s="24" t="s">
        <v>491</v>
      </c>
      <c r="B92" s="24" t="s">
        <v>510</v>
      </c>
      <c r="C92" s="25" t="s">
        <v>511</v>
      </c>
      <c r="D92" s="58" t="s">
        <v>512</v>
      </c>
      <c r="E92" s="25" t="s">
        <v>513</v>
      </c>
      <c r="F92" s="36" t="s">
        <v>112</v>
      </c>
      <c r="G92" s="24" t="s">
        <v>5</v>
      </c>
      <c r="H92" s="24" t="s">
        <v>6</v>
      </c>
      <c r="I92" s="23" t="s">
        <v>7</v>
      </c>
    </row>
    <row r="93">
      <c r="A93" s="24" t="s">
        <v>491</v>
      </c>
      <c r="B93" s="24" t="s">
        <v>514</v>
      </c>
      <c r="C93" s="25" t="s">
        <v>511</v>
      </c>
      <c r="D93" s="58" t="s">
        <v>515</v>
      </c>
      <c r="E93" s="25" t="s">
        <v>516</v>
      </c>
      <c r="F93" s="36" t="s">
        <v>112</v>
      </c>
      <c r="G93" s="55" t="s">
        <v>517</v>
      </c>
      <c r="H93" s="24" t="s">
        <v>518</v>
      </c>
      <c r="I93" s="23" t="s">
        <v>519</v>
      </c>
    </row>
    <row r="94">
      <c r="A94" s="24" t="s">
        <v>491</v>
      </c>
      <c r="B94" s="24" t="s">
        <v>520</v>
      </c>
      <c r="C94" s="25" t="s">
        <v>521</v>
      </c>
      <c r="D94" s="58" t="s">
        <v>522</v>
      </c>
      <c r="E94" s="25" t="s">
        <v>523</v>
      </c>
      <c r="F94" s="36" t="s">
        <v>112</v>
      </c>
      <c r="G94" s="55" t="s">
        <v>524</v>
      </c>
      <c r="H94" s="24" t="s">
        <v>525</v>
      </c>
      <c r="I94" s="23" t="s">
        <v>526</v>
      </c>
    </row>
    <row r="95">
      <c r="A95" s="24" t="s">
        <v>491</v>
      </c>
      <c r="B95" s="24" t="s">
        <v>527</v>
      </c>
      <c r="C95" s="25" t="s">
        <v>528</v>
      </c>
      <c r="D95" s="58" t="s">
        <v>529</v>
      </c>
      <c r="E95" s="25" t="s">
        <v>530</v>
      </c>
      <c r="F95" s="36" t="s">
        <v>112</v>
      </c>
      <c r="G95" s="24" t="s">
        <v>531</v>
      </c>
      <c r="I95" s="26"/>
    </row>
    <row r="96">
      <c r="A96" s="24" t="s">
        <v>491</v>
      </c>
      <c r="B96" s="24" t="s">
        <v>532</v>
      </c>
      <c r="C96" s="25" t="s">
        <v>533</v>
      </c>
      <c r="D96" s="58" t="s">
        <v>534</v>
      </c>
      <c r="E96" s="25" t="s">
        <v>535</v>
      </c>
      <c r="F96" s="36" t="s">
        <v>112</v>
      </c>
      <c r="G96" s="55" t="s">
        <v>536</v>
      </c>
      <c r="I96" s="26"/>
    </row>
    <row r="97">
      <c r="A97" s="24" t="s">
        <v>491</v>
      </c>
      <c r="B97" s="24" t="s">
        <v>537</v>
      </c>
      <c r="C97" s="25" t="s">
        <v>538</v>
      </c>
      <c r="D97" s="58" t="s">
        <v>539</v>
      </c>
      <c r="E97" s="25" t="s">
        <v>540</v>
      </c>
      <c r="F97" s="57"/>
      <c r="G97" s="24" t="s">
        <v>541</v>
      </c>
      <c r="H97" s="24" t="s">
        <v>542</v>
      </c>
      <c r="I97" s="23" t="s">
        <v>543</v>
      </c>
    </row>
    <row r="98">
      <c r="A98" s="24" t="s">
        <v>491</v>
      </c>
      <c r="B98" s="24" t="s">
        <v>544</v>
      </c>
      <c r="C98" s="25" t="s">
        <v>545</v>
      </c>
      <c r="D98" s="58" t="s">
        <v>211</v>
      </c>
      <c r="E98" s="25" t="s">
        <v>546</v>
      </c>
      <c r="F98" s="57"/>
      <c r="I98" s="26"/>
    </row>
    <row r="99">
      <c r="A99" s="24" t="s">
        <v>491</v>
      </c>
      <c r="B99" s="24" t="s">
        <v>547</v>
      </c>
      <c r="C99" s="25" t="s">
        <v>548</v>
      </c>
      <c r="D99" s="58" t="s">
        <v>549</v>
      </c>
      <c r="E99" s="25" t="s">
        <v>550</v>
      </c>
      <c r="F99" s="31" t="s">
        <v>41</v>
      </c>
      <c r="G99" s="24" t="s">
        <v>551</v>
      </c>
      <c r="H99" s="24" t="s">
        <v>552</v>
      </c>
      <c r="I99" s="23" t="s">
        <v>553</v>
      </c>
    </row>
    <row r="100">
      <c r="A100" s="24" t="s">
        <v>491</v>
      </c>
      <c r="B100" s="24" t="s">
        <v>554</v>
      </c>
      <c r="C100" s="25" t="s">
        <v>555</v>
      </c>
      <c r="D100" s="58" t="s">
        <v>556</v>
      </c>
      <c r="E100" s="25" t="s">
        <v>557</v>
      </c>
      <c r="F100" s="36" t="s">
        <v>112</v>
      </c>
      <c r="G100" s="24" t="s">
        <v>558</v>
      </c>
      <c r="H100" s="24" t="s">
        <v>559</v>
      </c>
      <c r="I100" s="23" t="s">
        <v>560</v>
      </c>
    </row>
    <row r="101">
      <c r="A101" s="24" t="s">
        <v>491</v>
      </c>
      <c r="B101" s="24" t="s">
        <v>561</v>
      </c>
      <c r="C101" s="25" t="s">
        <v>562</v>
      </c>
      <c r="D101" s="58" t="s">
        <v>563</v>
      </c>
      <c r="E101" s="25" t="s">
        <v>564</v>
      </c>
      <c r="F101" s="31" t="s">
        <v>41</v>
      </c>
      <c r="G101" s="24" t="s">
        <v>565</v>
      </c>
      <c r="H101" s="24" t="s">
        <v>566</v>
      </c>
      <c r="I101" s="23" t="s">
        <v>567</v>
      </c>
    </row>
    <row r="102">
      <c r="A102" s="24" t="s">
        <v>491</v>
      </c>
      <c r="B102" s="24" t="s">
        <v>568</v>
      </c>
      <c r="C102" s="25" t="s">
        <v>569</v>
      </c>
      <c r="D102" s="58" t="s">
        <v>570</v>
      </c>
      <c r="E102" s="25" t="s">
        <v>571</v>
      </c>
      <c r="F102" s="36" t="s">
        <v>112</v>
      </c>
      <c r="G102" s="24" t="s">
        <v>572</v>
      </c>
      <c r="H102" s="24" t="s">
        <v>573</v>
      </c>
      <c r="I102" s="23" t="s">
        <v>574</v>
      </c>
    </row>
    <row r="103">
      <c r="A103" s="24" t="s">
        <v>491</v>
      </c>
      <c r="B103" s="24" t="s">
        <v>575</v>
      </c>
      <c r="C103" s="25" t="s">
        <v>576</v>
      </c>
      <c r="D103" s="58" t="s">
        <v>577</v>
      </c>
      <c r="E103" s="64" t="s">
        <v>578</v>
      </c>
      <c r="F103" s="36" t="s">
        <v>112</v>
      </c>
      <c r="G103" s="23" t="s">
        <v>579</v>
      </c>
      <c r="H103" s="23" t="s">
        <v>580</v>
      </c>
      <c r="I103" s="23"/>
    </row>
    <row r="104">
      <c r="A104" s="24" t="s">
        <v>491</v>
      </c>
      <c r="B104" s="24" t="s">
        <v>581</v>
      </c>
      <c r="C104" s="25" t="s">
        <v>582</v>
      </c>
      <c r="D104" s="58" t="s">
        <v>583</v>
      </c>
      <c r="E104" s="64" t="s">
        <v>584</v>
      </c>
      <c r="F104" s="26"/>
      <c r="G104" s="23" t="s">
        <v>585</v>
      </c>
      <c r="H104" s="23" t="s">
        <v>586</v>
      </c>
      <c r="I104" s="26"/>
    </row>
    <row r="105">
      <c r="A105" s="24" t="s">
        <v>491</v>
      </c>
      <c r="B105" s="24" t="s">
        <v>587</v>
      </c>
      <c r="C105" s="25" t="s">
        <v>588</v>
      </c>
      <c r="D105" s="58" t="s">
        <v>589</v>
      </c>
      <c r="E105" s="64" t="s">
        <v>590</v>
      </c>
      <c r="F105" s="26"/>
      <c r="G105" s="25" t="s">
        <v>591</v>
      </c>
      <c r="H105" s="26"/>
      <c r="I105" s="23" t="s">
        <v>592</v>
      </c>
    </row>
    <row r="106">
      <c r="A106" s="24" t="s">
        <v>491</v>
      </c>
      <c r="B106" s="24" t="s">
        <v>593</v>
      </c>
      <c r="C106" s="25" t="s">
        <v>594</v>
      </c>
      <c r="D106" s="58" t="s">
        <v>595</v>
      </c>
      <c r="E106" s="64" t="s">
        <v>596</v>
      </c>
      <c r="F106" s="26"/>
      <c r="G106" s="25" t="s">
        <v>597</v>
      </c>
      <c r="H106" s="26"/>
      <c r="I106" s="23" t="s">
        <v>598</v>
      </c>
    </row>
    <row r="107">
      <c r="A107" s="24" t="s">
        <v>491</v>
      </c>
      <c r="B107" s="24" t="s">
        <v>599</v>
      </c>
      <c r="C107" s="25" t="s">
        <v>600</v>
      </c>
      <c r="D107" s="58" t="s">
        <v>601</v>
      </c>
      <c r="E107" s="64" t="s">
        <v>602</v>
      </c>
      <c r="F107" s="31" t="s">
        <v>41</v>
      </c>
      <c r="G107" s="26"/>
      <c r="H107" s="26"/>
      <c r="I107" s="23" t="s">
        <v>603</v>
      </c>
    </row>
    <row r="108">
      <c r="A108" s="24" t="s">
        <v>491</v>
      </c>
      <c r="B108" s="24" t="s">
        <v>604</v>
      </c>
      <c r="C108" s="25" t="s">
        <v>605</v>
      </c>
      <c r="D108" s="58" t="s">
        <v>606</v>
      </c>
      <c r="E108" s="64" t="s">
        <v>607</v>
      </c>
      <c r="F108" s="36" t="s">
        <v>112</v>
      </c>
      <c r="G108" s="25" t="s">
        <v>608</v>
      </c>
      <c r="H108" s="23" t="s">
        <v>609</v>
      </c>
      <c r="I108" s="23" t="s">
        <v>610</v>
      </c>
    </row>
    <row r="109">
      <c r="A109" s="24" t="s">
        <v>491</v>
      </c>
      <c r="B109" s="24" t="s">
        <v>611</v>
      </c>
      <c r="C109" s="25" t="s">
        <v>612</v>
      </c>
      <c r="D109" s="58" t="s">
        <v>613</v>
      </c>
      <c r="E109" s="64" t="s">
        <v>614</v>
      </c>
      <c r="F109" s="31" t="s">
        <v>41</v>
      </c>
      <c r="G109" s="23" t="s">
        <v>615</v>
      </c>
      <c r="H109" s="23" t="s">
        <v>616</v>
      </c>
      <c r="I109" s="23" t="s">
        <v>617</v>
      </c>
    </row>
    <row r="110">
      <c r="A110" s="24" t="s">
        <v>491</v>
      </c>
      <c r="B110" s="24" t="s">
        <v>618</v>
      </c>
      <c r="C110" s="25" t="s">
        <v>619</v>
      </c>
      <c r="D110" s="58" t="s">
        <v>620</v>
      </c>
      <c r="E110" s="64" t="s">
        <v>621</v>
      </c>
      <c r="F110" s="31" t="s">
        <v>41</v>
      </c>
      <c r="G110" s="23" t="s">
        <v>622</v>
      </c>
      <c r="H110" s="23" t="s">
        <v>623</v>
      </c>
      <c r="I110" s="23" t="s">
        <v>624</v>
      </c>
    </row>
    <row r="111">
      <c r="A111" s="24" t="s">
        <v>491</v>
      </c>
      <c r="B111" s="24" t="s">
        <v>604</v>
      </c>
      <c r="C111" s="25" t="s">
        <v>625</v>
      </c>
      <c r="D111" s="58" t="s">
        <v>626</v>
      </c>
      <c r="E111" s="64" t="s">
        <v>627</v>
      </c>
      <c r="F111" s="26"/>
      <c r="G111" s="23" t="s">
        <v>628</v>
      </c>
      <c r="H111" s="23" t="s">
        <v>629</v>
      </c>
      <c r="I111" s="23" t="s">
        <v>630</v>
      </c>
    </row>
    <row r="112">
      <c r="A112" s="24" t="s">
        <v>491</v>
      </c>
      <c r="B112" s="24" t="s">
        <v>631</v>
      </c>
      <c r="C112" s="25" t="s">
        <v>632</v>
      </c>
      <c r="D112" s="58" t="s">
        <v>633</v>
      </c>
      <c r="E112" s="64" t="s">
        <v>634</v>
      </c>
      <c r="F112" s="31" t="s">
        <v>41</v>
      </c>
      <c r="G112" s="23" t="s">
        <v>635</v>
      </c>
      <c r="H112" s="23" t="s">
        <v>636</v>
      </c>
      <c r="I112" s="23" t="s">
        <v>637</v>
      </c>
    </row>
    <row r="113">
      <c r="A113" s="24" t="s">
        <v>491</v>
      </c>
      <c r="B113" s="24" t="s">
        <v>638</v>
      </c>
      <c r="C113" s="25" t="s">
        <v>639</v>
      </c>
      <c r="D113" s="58" t="s">
        <v>640</v>
      </c>
      <c r="E113" s="64" t="s">
        <v>641</v>
      </c>
      <c r="F113" s="36" t="s">
        <v>112</v>
      </c>
      <c r="G113" s="23" t="s">
        <v>642</v>
      </c>
      <c r="H113" s="23" t="s">
        <v>643</v>
      </c>
      <c r="I113" s="23" t="s">
        <v>644</v>
      </c>
    </row>
    <row r="114">
      <c r="A114" s="24" t="s">
        <v>491</v>
      </c>
      <c r="B114" s="24" t="s">
        <v>645</v>
      </c>
      <c r="C114" s="25" t="s">
        <v>646</v>
      </c>
      <c r="D114" s="58" t="s">
        <v>647</v>
      </c>
      <c r="E114" s="64" t="s">
        <v>648</v>
      </c>
      <c r="F114" s="59"/>
      <c r="G114" s="59"/>
      <c r="H114" s="59"/>
      <c r="I114" s="59"/>
    </row>
    <row r="115">
      <c r="A115" s="24" t="s">
        <v>491</v>
      </c>
      <c r="B115" s="24" t="s">
        <v>649</v>
      </c>
      <c r="C115" s="25" t="s">
        <v>650</v>
      </c>
      <c r="D115" s="58" t="s">
        <v>651</v>
      </c>
      <c r="E115" s="64" t="s">
        <v>652</v>
      </c>
      <c r="F115" s="59"/>
      <c r="G115" s="61" t="s">
        <v>653</v>
      </c>
      <c r="H115" s="58" t="s">
        <v>654</v>
      </c>
      <c r="I115" s="58" t="s">
        <v>655</v>
      </c>
    </row>
    <row r="116">
      <c r="A116" s="24" t="s">
        <v>491</v>
      </c>
      <c r="B116" s="24" t="s">
        <v>656</v>
      </c>
      <c r="C116" s="25" t="s">
        <v>657</v>
      </c>
      <c r="D116" s="58" t="s">
        <v>658</v>
      </c>
      <c r="E116" s="25" t="s">
        <v>659</v>
      </c>
      <c r="F116" s="31" t="s">
        <v>41</v>
      </c>
      <c r="G116" s="59"/>
      <c r="H116" s="58" t="s">
        <v>174</v>
      </c>
      <c r="I116" s="58" t="s">
        <v>660</v>
      </c>
      <c r="J116" s="26"/>
      <c r="K116" s="26"/>
    </row>
    <row r="117">
      <c r="A117" s="24" t="s">
        <v>491</v>
      </c>
      <c r="B117" s="24" t="s">
        <v>661</v>
      </c>
      <c r="C117" s="25" t="s">
        <v>662</v>
      </c>
      <c r="D117" s="58" t="s">
        <v>663</v>
      </c>
      <c r="E117" s="25" t="s">
        <v>664</v>
      </c>
      <c r="F117" s="36" t="s">
        <v>112</v>
      </c>
      <c r="G117" s="62" t="s">
        <v>665</v>
      </c>
      <c r="H117" s="59"/>
      <c r="I117" s="62" t="s">
        <v>666</v>
      </c>
      <c r="J117" s="23"/>
      <c r="K117" s="23"/>
    </row>
    <row r="118">
      <c r="A118" s="24" t="s">
        <v>491</v>
      </c>
      <c r="B118" s="24" t="s">
        <v>667</v>
      </c>
      <c r="C118" s="25" t="s">
        <v>668</v>
      </c>
      <c r="D118" s="58" t="s">
        <v>669</v>
      </c>
      <c r="E118" s="25" t="s">
        <v>670</v>
      </c>
      <c r="F118" s="60"/>
      <c r="G118" s="62" t="s">
        <v>671</v>
      </c>
      <c r="H118" s="62" t="s">
        <v>672</v>
      </c>
      <c r="I118" s="58" t="s">
        <v>673</v>
      </c>
      <c r="J118" s="23"/>
      <c r="K118" s="23"/>
    </row>
    <row r="119">
      <c r="A119" s="24" t="s">
        <v>491</v>
      </c>
      <c r="B119" s="24" t="s">
        <v>674</v>
      </c>
      <c r="C119" s="25" t="s">
        <v>675</v>
      </c>
      <c r="D119" s="58" t="s">
        <v>676</v>
      </c>
      <c r="E119" s="25" t="s">
        <v>677</v>
      </c>
      <c r="F119" s="60"/>
      <c r="G119" s="62" t="s">
        <v>678</v>
      </c>
      <c r="H119" s="62" t="s">
        <v>679</v>
      </c>
      <c r="I119" s="62" t="s">
        <v>680</v>
      </c>
      <c r="J119" s="26"/>
      <c r="K119" s="23"/>
    </row>
    <row r="120">
      <c r="A120" s="24" t="s">
        <v>491</v>
      </c>
      <c r="B120" s="24" t="s">
        <v>681</v>
      </c>
      <c r="C120" s="25" t="s">
        <v>682</v>
      </c>
      <c r="D120" s="58" t="s">
        <v>683</v>
      </c>
      <c r="E120" s="25" t="s">
        <v>684</v>
      </c>
      <c r="F120" s="60"/>
      <c r="G120" s="58" t="s">
        <v>685</v>
      </c>
      <c r="H120" s="58" t="s">
        <v>686</v>
      </c>
      <c r="I120" s="62" t="s">
        <v>687</v>
      </c>
      <c r="J120" s="23"/>
      <c r="K120" s="23"/>
    </row>
    <row r="121">
      <c r="A121" s="24" t="s">
        <v>491</v>
      </c>
      <c r="B121" s="24" t="s">
        <v>688</v>
      </c>
      <c r="C121" s="25" t="s">
        <v>689</v>
      </c>
      <c r="D121" s="58" t="s">
        <v>690</v>
      </c>
      <c r="E121" s="25" t="s">
        <v>691</v>
      </c>
      <c r="F121" s="31" t="s">
        <v>41</v>
      </c>
      <c r="G121" s="60"/>
      <c r="H121" s="59"/>
      <c r="I121" s="60"/>
      <c r="J121" s="23"/>
      <c r="K121" s="23"/>
    </row>
    <row r="122">
      <c r="A122" s="24" t="s">
        <v>491</v>
      </c>
      <c r="B122" s="24" t="s">
        <v>692</v>
      </c>
      <c r="C122" s="25" t="s">
        <v>693</v>
      </c>
      <c r="D122" s="58" t="s">
        <v>694</v>
      </c>
      <c r="E122" s="25" t="s">
        <v>695</v>
      </c>
      <c r="F122" s="60"/>
      <c r="G122" s="59"/>
      <c r="H122" s="59"/>
      <c r="I122" s="60"/>
      <c r="J122" s="23"/>
      <c r="K122" s="23"/>
    </row>
    <row r="123">
      <c r="A123" s="24" t="s">
        <v>491</v>
      </c>
      <c r="B123" s="24" t="s">
        <v>696</v>
      </c>
      <c r="C123" s="25" t="s">
        <v>697</v>
      </c>
      <c r="D123" s="58" t="s">
        <v>698</v>
      </c>
      <c r="E123" s="25" t="s">
        <v>699</v>
      </c>
      <c r="F123" s="31" t="s">
        <v>41</v>
      </c>
      <c r="G123" s="60"/>
      <c r="H123" s="62" t="s">
        <v>700</v>
      </c>
      <c r="I123" s="58" t="s">
        <v>701</v>
      </c>
      <c r="J123" s="26"/>
      <c r="K123" s="26"/>
    </row>
    <row r="124">
      <c r="A124" s="24" t="s">
        <v>491</v>
      </c>
      <c r="B124" s="24" t="s">
        <v>702</v>
      </c>
      <c r="C124" s="25" t="s">
        <v>703</v>
      </c>
      <c r="D124" s="58" t="s">
        <v>704</v>
      </c>
      <c r="E124" s="25" t="s">
        <v>705</v>
      </c>
      <c r="F124" s="31" t="s">
        <v>41</v>
      </c>
      <c r="G124" s="59"/>
      <c r="H124" s="59"/>
      <c r="I124" s="58" t="s">
        <v>706</v>
      </c>
      <c r="J124" s="26"/>
      <c r="K124" s="26"/>
    </row>
    <row r="125">
      <c r="A125" s="24" t="s">
        <v>491</v>
      </c>
      <c r="B125" s="24" t="s">
        <v>707</v>
      </c>
      <c r="C125" s="25" t="s">
        <v>708</v>
      </c>
      <c r="D125" s="58" t="s">
        <v>709</v>
      </c>
      <c r="E125" s="25" t="s">
        <v>710</v>
      </c>
      <c r="F125" s="31" t="s">
        <v>41</v>
      </c>
      <c r="G125" s="65" t="s">
        <v>711</v>
      </c>
      <c r="H125" s="62" t="s">
        <v>700</v>
      </c>
      <c r="I125" s="58" t="s">
        <v>712</v>
      </c>
      <c r="J125" s="23"/>
      <c r="K125" s="23"/>
    </row>
    <row r="126">
      <c r="A126" s="24" t="s">
        <v>491</v>
      </c>
      <c r="B126" s="24" t="s">
        <v>713</v>
      </c>
      <c r="C126" s="25" t="s">
        <v>650</v>
      </c>
      <c r="D126" s="58" t="s">
        <v>714</v>
      </c>
      <c r="E126" s="25" t="s">
        <v>715</v>
      </c>
      <c r="F126" s="36" t="s">
        <v>112</v>
      </c>
      <c r="G126" s="58" t="s">
        <v>716</v>
      </c>
      <c r="H126" s="62" t="s">
        <v>717</v>
      </c>
      <c r="I126" s="58" t="s">
        <v>718</v>
      </c>
      <c r="J126" s="26"/>
      <c r="K126" s="23"/>
    </row>
    <row r="127">
      <c r="A127" s="24" t="s">
        <v>491</v>
      </c>
      <c r="B127" s="24" t="s">
        <v>719</v>
      </c>
      <c r="C127" s="25" t="s">
        <v>720</v>
      </c>
      <c r="D127" s="58" t="s">
        <v>721</v>
      </c>
      <c r="E127" s="25" t="s">
        <v>722</v>
      </c>
      <c r="F127" s="31" t="s">
        <v>41</v>
      </c>
      <c r="G127" s="62" t="s">
        <v>723</v>
      </c>
      <c r="H127" s="62" t="s">
        <v>724</v>
      </c>
      <c r="I127" s="62" t="s">
        <v>725</v>
      </c>
      <c r="J127" s="23"/>
      <c r="K127" s="23"/>
    </row>
    <row r="128">
      <c r="A128" s="24" t="s">
        <v>491</v>
      </c>
      <c r="B128" s="24" t="s">
        <v>726</v>
      </c>
      <c r="C128" s="25" t="s">
        <v>727</v>
      </c>
      <c r="D128" s="58" t="s">
        <v>728</v>
      </c>
      <c r="E128" s="25" t="s">
        <v>729</v>
      </c>
      <c r="F128" s="36" t="s">
        <v>112</v>
      </c>
      <c r="G128" s="65" t="s">
        <v>730</v>
      </c>
      <c r="H128" s="62" t="s">
        <v>731</v>
      </c>
      <c r="I128" s="62" t="s">
        <v>732</v>
      </c>
      <c r="J128" s="23"/>
      <c r="K128" s="23"/>
    </row>
    <row r="129">
      <c r="A129" s="24" t="s">
        <v>491</v>
      </c>
      <c r="B129" s="24" t="s">
        <v>733</v>
      </c>
      <c r="C129" s="25" t="s">
        <v>734</v>
      </c>
      <c r="D129" s="58" t="s">
        <v>735</v>
      </c>
      <c r="E129" s="25" t="s">
        <v>736</v>
      </c>
      <c r="F129" s="60"/>
      <c r="G129" s="62" t="s">
        <v>737</v>
      </c>
      <c r="H129" s="62" t="s">
        <v>738</v>
      </c>
      <c r="I129" s="62" t="s">
        <v>739</v>
      </c>
      <c r="J129" s="23"/>
      <c r="K129" s="23"/>
    </row>
    <row r="130">
      <c r="A130" s="24" t="s">
        <v>491</v>
      </c>
      <c r="B130" s="24" t="s">
        <v>740</v>
      </c>
      <c r="C130" s="25" t="s">
        <v>741</v>
      </c>
      <c r="D130" s="58" t="s">
        <v>742</v>
      </c>
      <c r="E130" s="25" t="s">
        <v>743</v>
      </c>
      <c r="F130" s="31" t="s">
        <v>41</v>
      </c>
      <c r="G130" s="65" t="s">
        <v>744</v>
      </c>
      <c r="H130" s="62" t="s">
        <v>745</v>
      </c>
      <c r="I130" s="62" t="s">
        <v>746</v>
      </c>
      <c r="J130" s="23"/>
      <c r="K130" s="23"/>
    </row>
    <row r="131">
      <c r="A131" s="24" t="s">
        <v>491</v>
      </c>
      <c r="B131" s="24" t="s">
        <v>747</v>
      </c>
      <c r="C131" s="25" t="s">
        <v>748</v>
      </c>
      <c r="D131" s="58" t="s">
        <v>749</v>
      </c>
      <c r="E131" s="25" t="s">
        <v>750</v>
      </c>
      <c r="F131" s="31" t="s">
        <v>41</v>
      </c>
      <c r="G131" s="62" t="s">
        <v>751</v>
      </c>
      <c r="H131" s="58" t="s">
        <v>752</v>
      </c>
      <c r="I131" s="62" t="s">
        <v>753</v>
      </c>
      <c r="J131" s="23"/>
      <c r="K131" s="23"/>
    </row>
    <row r="132">
      <c r="A132" s="24" t="s">
        <v>491</v>
      </c>
      <c r="B132" s="24" t="s">
        <v>754</v>
      </c>
      <c r="C132" s="25" t="s">
        <v>734</v>
      </c>
      <c r="D132" s="58" t="s">
        <v>755</v>
      </c>
      <c r="E132" s="25" t="s">
        <v>756</v>
      </c>
      <c r="F132" s="36" t="s">
        <v>112</v>
      </c>
      <c r="G132" s="62" t="s">
        <v>757</v>
      </c>
      <c r="H132" s="62" t="s">
        <v>758</v>
      </c>
      <c r="I132" s="62" t="s">
        <v>759</v>
      </c>
      <c r="J132" s="23"/>
      <c r="K132" s="23"/>
    </row>
    <row r="133">
      <c r="A133" s="24" t="s">
        <v>491</v>
      </c>
      <c r="B133" s="24" t="s">
        <v>760</v>
      </c>
      <c r="C133" s="25" t="s">
        <v>761</v>
      </c>
      <c r="D133" s="58" t="s">
        <v>762</v>
      </c>
      <c r="E133" s="25" t="s">
        <v>763</v>
      </c>
      <c r="F133" s="36" t="s">
        <v>112</v>
      </c>
      <c r="G133" s="62" t="s">
        <v>764</v>
      </c>
      <c r="H133" s="62" t="s">
        <v>765</v>
      </c>
      <c r="I133" s="62" t="s">
        <v>766</v>
      </c>
      <c r="J133" s="23"/>
      <c r="K133" s="23"/>
    </row>
    <row r="134">
      <c r="A134" s="24" t="s">
        <v>491</v>
      </c>
      <c r="B134" s="24" t="s">
        <v>767</v>
      </c>
      <c r="C134" s="25" t="s">
        <v>650</v>
      </c>
      <c r="D134" s="58" t="s">
        <v>768</v>
      </c>
      <c r="E134" s="25" t="s">
        <v>769</v>
      </c>
      <c r="F134" s="31" t="s">
        <v>41</v>
      </c>
      <c r="G134" s="62" t="s">
        <v>770</v>
      </c>
      <c r="H134" s="62" t="s">
        <v>771</v>
      </c>
      <c r="I134" s="62" t="s">
        <v>772</v>
      </c>
      <c r="J134" s="23"/>
      <c r="K134" s="23"/>
    </row>
    <row r="135">
      <c r="A135" s="24" t="s">
        <v>491</v>
      </c>
      <c r="B135" s="24" t="s">
        <v>773</v>
      </c>
      <c r="C135" s="25" t="s">
        <v>774</v>
      </c>
      <c r="D135" s="58" t="s">
        <v>775</v>
      </c>
      <c r="E135" s="25" t="s">
        <v>776</v>
      </c>
      <c r="F135" s="36" t="s">
        <v>112</v>
      </c>
      <c r="G135" s="65" t="s">
        <v>777</v>
      </c>
      <c r="H135" s="62" t="s">
        <v>778</v>
      </c>
      <c r="I135" s="62" t="s">
        <v>779</v>
      </c>
      <c r="J135" s="23"/>
      <c r="K135" s="23"/>
    </row>
    <row r="136">
      <c r="A136" s="24" t="s">
        <v>491</v>
      </c>
      <c r="B136" s="24" t="s">
        <v>780</v>
      </c>
      <c r="C136" s="25" t="s">
        <v>781</v>
      </c>
      <c r="D136" s="58" t="s">
        <v>782</v>
      </c>
      <c r="E136" s="25" t="s">
        <v>783</v>
      </c>
      <c r="F136" s="31" t="s">
        <v>41</v>
      </c>
      <c r="G136" s="65" t="s">
        <v>784</v>
      </c>
      <c r="H136" s="62" t="s">
        <v>785</v>
      </c>
      <c r="I136" s="62" t="s">
        <v>786</v>
      </c>
      <c r="J136" s="23"/>
      <c r="K136" s="23"/>
    </row>
    <row r="137">
      <c r="A137" s="24" t="s">
        <v>491</v>
      </c>
      <c r="B137" s="24" t="s">
        <v>787</v>
      </c>
      <c r="C137" s="25" t="s">
        <v>788</v>
      </c>
      <c r="D137" s="58" t="s">
        <v>789</v>
      </c>
      <c r="E137" s="25" t="s">
        <v>790</v>
      </c>
      <c r="F137" s="36" t="s">
        <v>112</v>
      </c>
      <c r="G137" s="58" t="s">
        <v>665</v>
      </c>
      <c r="H137" s="62"/>
      <c r="I137" s="62" t="s">
        <v>666</v>
      </c>
      <c r="J137" s="23"/>
      <c r="K137" s="23"/>
    </row>
    <row r="138">
      <c r="A138" s="24" t="s">
        <v>491</v>
      </c>
      <c r="B138" s="24" t="s">
        <v>791</v>
      </c>
      <c r="C138" s="25" t="s">
        <v>792</v>
      </c>
      <c r="D138" s="58" t="s">
        <v>793</v>
      </c>
      <c r="E138" s="25" t="s">
        <v>794</v>
      </c>
      <c r="F138" s="62"/>
      <c r="G138" s="62"/>
      <c r="H138" s="62"/>
      <c r="I138" s="62"/>
      <c r="J138" s="23"/>
      <c r="K138" s="23"/>
    </row>
    <row r="139">
      <c r="A139" s="24" t="s">
        <v>795</v>
      </c>
      <c r="B139" s="24" t="s">
        <v>674</v>
      </c>
      <c r="C139" s="25" t="s">
        <v>675</v>
      </c>
      <c r="D139" s="58" t="s">
        <v>676</v>
      </c>
      <c r="E139" s="64" t="s">
        <v>677</v>
      </c>
      <c r="F139" s="36" t="s">
        <v>112</v>
      </c>
      <c r="G139" s="66" t="s">
        <v>665</v>
      </c>
      <c r="H139" s="58"/>
      <c r="I139" s="67" t="s">
        <v>666</v>
      </c>
    </row>
    <row r="140">
      <c r="A140" s="24" t="s">
        <v>795</v>
      </c>
      <c r="B140" s="24" t="s">
        <v>796</v>
      </c>
      <c r="C140" s="25" t="s">
        <v>797</v>
      </c>
      <c r="D140" s="58" t="s">
        <v>798</v>
      </c>
      <c r="E140" s="64" t="s">
        <v>799</v>
      </c>
      <c r="F140" s="58"/>
      <c r="G140" s="58"/>
      <c r="H140" s="58"/>
      <c r="I140" s="58"/>
    </row>
    <row r="141">
      <c r="A141" s="24" t="s">
        <v>795</v>
      </c>
      <c r="B141" s="24" t="s">
        <v>800</v>
      </c>
      <c r="C141" s="25" t="s">
        <v>801</v>
      </c>
      <c r="D141" s="58" t="s">
        <v>802</v>
      </c>
      <c r="E141" s="64" t="s">
        <v>803</v>
      </c>
      <c r="F141" s="58"/>
      <c r="G141" s="66" t="s">
        <v>804</v>
      </c>
      <c r="H141" s="67" t="s">
        <v>805</v>
      </c>
      <c r="I141" s="67" t="s">
        <v>806</v>
      </c>
    </row>
    <row r="142">
      <c r="A142" s="24" t="s">
        <v>795</v>
      </c>
      <c r="B142" s="24" t="s">
        <v>807</v>
      </c>
      <c r="C142" s="25" t="s">
        <v>808</v>
      </c>
      <c r="D142" s="58" t="s">
        <v>809</v>
      </c>
      <c r="E142" s="64" t="s">
        <v>810</v>
      </c>
      <c r="F142" s="31" t="s">
        <v>41</v>
      </c>
      <c r="G142" s="67" t="s">
        <v>811</v>
      </c>
      <c r="H142" s="67" t="s">
        <v>812</v>
      </c>
      <c r="I142" s="67" t="s">
        <v>813</v>
      </c>
    </row>
    <row r="143">
      <c r="A143" s="24" t="s">
        <v>795</v>
      </c>
      <c r="B143" s="24" t="s">
        <v>814</v>
      </c>
      <c r="C143" s="25" t="s">
        <v>808</v>
      </c>
      <c r="D143" s="58" t="s">
        <v>815</v>
      </c>
      <c r="E143" s="64" t="s">
        <v>816</v>
      </c>
      <c r="F143" s="58"/>
      <c r="G143" s="68" t="s">
        <v>817</v>
      </c>
      <c r="H143" s="58"/>
      <c r="I143" s="58"/>
    </row>
    <row r="144">
      <c r="A144" s="24" t="s">
        <v>795</v>
      </c>
      <c r="B144" s="24" t="s">
        <v>818</v>
      </c>
      <c r="C144" s="25" t="s">
        <v>819</v>
      </c>
      <c r="D144" s="58" t="s">
        <v>820</v>
      </c>
      <c r="E144" s="64" t="s">
        <v>821</v>
      </c>
      <c r="F144" s="31" t="s">
        <v>41</v>
      </c>
      <c r="G144" s="58"/>
      <c r="H144" s="67" t="s">
        <v>822</v>
      </c>
      <c r="I144" s="67" t="s">
        <v>823</v>
      </c>
    </row>
    <row r="145">
      <c r="A145" s="24" t="s">
        <v>795</v>
      </c>
      <c r="B145" s="24" t="s">
        <v>824</v>
      </c>
      <c r="C145" s="25" t="s">
        <v>825</v>
      </c>
      <c r="D145" s="58" t="s">
        <v>826</v>
      </c>
      <c r="E145" s="64" t="s">
        <v>827</v>
      </c>
      <c r="F145" s="31" t="s">
        <v>41</v>
      </c>
      <c r="G145" s="58"/>
      <c r="H145" s="58"/>
      <c r="I145" s="67" t="s">
        <v>828</v>
      </c>
    </row>
    <row r="146">
      <c r="A146" s="24" t="s">
        <v>795</v>
      </c>
      <c r="B146" s="24" t="s">
        <v>829</v>
      </c>
      <c r="C146" s="25" t="s">
        <v>830</v>
      </c>
      <c r="D146" s="58" t="s">
        <v>831</v>
      </c>
      <c r="E146" s="64" t="s">
        <v>832</v>
      </c>
      <c r="F146" s="31" t="s">
        <v>41</v>
      </c>
      <c r="G146" s="66" t="s">
        <v>833</v>
      </c>
      <c r="H146" s="58"/>
      <c r="I146" s="67" t="s">
        <v>834</v>
      </c>
    </row>
    <row r="147">
      <c r="A147" s="24" t="s">
        <v>795</v>
      </c>
      <c r="B147" s="24" t="s">
        <v>835</v>
      </c>
      <c r="C147" s="25" t="s">
        <v>836</v>
      </c>
      <c r="D147" s="58" t="s">
        <v>837</v>
      </c>
      <c r="E147" s="64" t="s">
        <v>838</v>
      </c>
      <c r="F147" s="58"/>
      <c r="G147" s="58"/>
      <c r="H147" s="58"/>
      <c r="I147" s="58"/>
    </row>
    <row r="148">
      <c r="A148" s="24" t="s">
        <v>795</v>
      </c>
      <c r="B148" s="24" t="s">
        <v>839</v>
      </c>
      <c r="C148" s="25" t="s">
        <v>840</v>
      </c>
      <c r="D148" s="58" t="s">
        <v>841</v>
      </c>
      <c r="E148" s="64" t="s">
        <v>842</v>
      </c>
      <c r="F148" s="31" t="s">
        <v>41</v>
      </c>
      <c r="G148" s="68" t="s">
        <v>843</v>
      </c>
      <c r="H148" s="67" t="s">
        <v>844</v>
      </c>
      <c r="I148" s="67" t="s">
        <v>845</v>
      </c>
    </row>
    <row r="149">
      <c r="A149" s="24" t="s">
        <v>795</v>
      </c>
      <c r="B149" s="24" t="s">
        <v>846</v>
      </c>
      <c r="C149" s="25" t="s">
        <v>847</v>
      </c>
      <c r="D149" s="58" t="s">
        <v>848</v>
      </c>
      <c r="E149" s="64" t="s">
        <v>849</v>
      </c>
      <c r="F149" s="31" t="s">
        <v>41</v>
      </c>
      <c r="G149" s="66" t="s">
        <v>850</v>
      </c>
      <c r="H149" s="67" t="s">
        <v>851</v>
      </c>
      <c r="I149" s="67" t="s">
        <v>852</v>
      </c>
    </row>
    <row r="150">
      <c r="A150" s="24" t="s">
        <v>795</v>
      </c>
      <c r="B150" s="24" t="s">
        <v>747</v>
      </c>
      <c r="C150" s="25" t="s">
        <v>748</v>
      </c>
      <c r="D150" s="58" t="s">
        <v>749</v>
      </c>
      <c r="E150" s="64" t="s">
        <v>750</v>
      </c>
      <c r="F150" s="58"/>
      <c r="G150" s="67" t="s">
        <v>737</v>
      </c>
      <c r="H150" s="67" t="s">
        <v>738</v>
      </c>
      <c r="I150" s="67" t="s">
        <v>739</v>
      </c>
    </row>
    <row r="151">
      <c r="A151" s="24" t="s">
        <v>795</v>
      </c>
      <c r="B151" s="24" t="s">
        <v>853</v>
      </c>
      <c r="C151" s="25" t="s">
        <v>854</v>
      </c>
      <c r="D151" s="58" t="s">
        <v>855</v>
      </c>
      <c r="E151" s="64" t="s">
        <v>856</v>
      </c>
      <c r="F151" s="31" t="s">
        <v>41</v>
      </c>
      <c r="G151" s="68" t="s">
        <v>857</v>
      </c>
      <c r="H151" s="67" t="s">
        <v>858</v>
      </c>
      <c r="I151" s="67" t="s">
        <v>859</v>
      </c>
    </row>
    <row r="152">
      <c r="A152" s="24" t="s">
        <v>795</v>
      </c>
      <c r="B152" s="24" t="s">
        <v>773</v>
      </c>
      <c r="C152" s="25" t="s">
        <v>774</v>
      </c>
      <c r="D152" s="58" t="s">
        <v>775</v>
      </c>
      <c r="E152" s="64" t="s">
        <v>776</v>
      </c>
      <c r="F152" s="36" t="s">
        <v>112</v>
      </c>
      <c r="G152" s="67" t="s">
        <v>764</v>
      </c>
      <c r="H152" s="67" t="s">
        <v>765</v>
      </c>
      <c r="I152" s="67" t="s">
        <v>766</v>
      </c>
    </row>
    <row r="153">
      <c r="A153" s="24" t="s">
        <v>795</v>
      </c>
      <c r="B153" s="24" t="s">
        <v>780</v>
      </c>
      <c r="C153" s="25" t="s">
        <v>781</v>
      </c>
      <c r="D153" s="58" t="s">
        <v>782</v>
      </c>
      <c r="E153" s="64" t="s">
        <v>783</v>
      </c>
      <c r="F153" s="31" t="s">
        <v>41</v>
      </c>
      <c r="G153" s="66" t="s">
        <v>770</v>
      </c>
      <c r="H153" s="67" t="s">
        <v>771</v>
      </c>
      <c r="I153" s="67" t="s">
        <v>772</v>
      </c>
    </row>
    <row r="154">
      <c r="A154" s="24" t="s">
        <v>795</v>
      </c>
      <c r="B154" s="24" t="s">
        <v>860</v>
      </c>
      <c r="C154" s="25" t="s">
        <v>861</v>
      </c>
      <c r="D154" s="58" t="s">
        <v>862</v>
      </c>
      <c r="E154" s="64" t="s">
        <v>863</v>
      </c>
      <c r="F154" s="31" t="s">
        <v>41</v>
      </c>
      <c r="G154" s="67" t="s">
        <v>864</v>
      </c>
      <c r="H154" s="67" t="s">
        <v>865</v>
      </c>
      <c r="I154" s="67" t="s">
        <v>866</v>
      </c>
    </row>
    <row r="155">
      <c r="A155" s="24" t="s">
        <v>795</v>
      </c>
      <c r="B155" s="24" t="s">
        <v>867</v>
      </c>
      <c r="C155" s="25" t="s">
        <v>868</v>
      </c>
      <c r="D155" s="58" t="s">
        <v>869</v>
      </c>
      <c r="E155" s="64" t="s">
        <v>870</v>
      </c>
      <c r="F155" s="31" t="s">
        <v>41</v>
      </c>
      <c r="G155" s="66" t="s">
        <v>871</v>
      </c>
      <c r="H155" s="67" t="s">
        <v>872</v>
      </c>
      <c r="I155" s="67" t="s">
        <v>873</v>
      </c>
    </row>
    <row r="156">
      <c r="A156" s="24" t="s">
        <v>795</v>
      </c>
      <c r="B156" s="24" t="s">
        <v>874</v>
      </c>
      <c r="C156" s="25" t="s">
        <v>875</v>
      </c>
      <c r="D156" s="58" t="s">
        <v>876</v>
      </c>
      <c r="E156" s="64" t="s">
        <v>877</v>
      </c>
      <c r="F156" s="58"/>
      <c r="G156" s="58"/>
      <c r="H156" s="58"/>
      <c r="I156" s="58"/>
    </row>
    <row r="157">
      <c r="A157" s="24" t="s">
        <v>795</v>
      </c>
      <c r="B157" s="24" t="s">
        <v>878</v>
      </c>
      <c r="C157" s="25" t="s">
        <v>879</v>
      </c>
      <c r="D157" s="58" t="s">
        <v>880</v>
      </c>
      <c r="E157" s="64" t="s">
        <v>881</v>
      </c>
      <c r="F157" s="31" t="s">
        <v>41</v>
      </c>
      <c r="G157" s="66" t="s">
        <v>882</v>
      </c>
      <c r="H157" s="58"/>
      <c r="I157" s="62"/>
    </row>
    <row r="158">
      <c r="A158" s="24" t="s">
        <v>795</v>
      </c>
      <c r="B158" s="24" t="s">
        <v>883</v>
      </c>
      <c r="C158" s="25" t="s">
        <v>884</v>
      </c>
      <c r="D158" s="58" t="s">
        <v>885</v>
      </c>
      <c r="E158" s="64" t="s">
        <v>886</v>
      </c>
      <c r="F158" s="31" t="s">
        <v>41</v>
      </c>
      <c r="G158" s="67" t="s">
        <v>887</v>
      </c>
      <c r="H158" s="67" t="s">
        <v>888</v>
      </c>
      <c r="I158" s="67" t="s">
        <v>889</v>
      </c>
    </row>
    <row r="159">
      <c r="A159" s="24" t="s">
        <v>795</v>
      </c>
      <c r="B159" s="24" t="s">
        <v>890</v>
      </c>
      <c r="C159" s="25" t="s">
        <v>891</v>
      </c>
      <c r="D159" s="58" t="s">
        <v>892</v>
      </c>
      <c r="E159" s="64" t="s">
        <v>893</v>
      </c>
      <c r="F159" s="31" t="s">
        <v>41</v>
      </c>
      <c r="G159" s="68" t="s">
        <v>894</v>
      </c>
      <c r="H159" s="67" t="s">
        <v>895</v>
      </c>
      <c r="I159" s="67" t="s">
        <v>896</v>
      </c>
    </row>
    <row r="160">
      <c r="A160" s="24" t="s">
        <v>795</v>
      </c>
      <c r="B160" s="24" t="s">
        <v>897</v>
      </c>
      <c r="C160" s="25" t="s">
        <v>650</v>
      </c>
      <c r="D160" s="58" t="s">
        <v>898</v>
      </c>
      <c r="E160" s="64" t="s">
        <v>899</v>
      </c>
      <c r="F160" s="58"/>
      <c r="G160" s="58"/>
      <c r="H160" s="58"/>
      <c r="I160" s="58"/>
    </row>
    <row r="161">
      <c r="A161" s="24" t="s">
        <v>795</v>
      </c>
      <c r="B161" s="24" t="s">
        <v>900</v>
      </c>
      <c r="C161" s="25" t="s">
        <v>901</v>
      </c>
      <c r="D161" s="58" t="s">
        <v>902</v>
      </c>
      <c r="E161" s="64" t="s">
        <v>903</v>
      </c>
      <c r="F161" s="36" t="s">
        <v>112</v>
      </c>
      <c r="G161" s="67" t="s">
        <v>904</v>
      </c>
      <c r="H161" s="67" t="s">
        <v>905</v>
      </c>
      <c r="I161" s="67" t="s">
        <v>906</v>
      </c>
    </row>
    <row r="162">
      <c r="A162" s="24" t="s">
        <v>795</v>
      </c>
      <c r="B162" s="24" t="s">
        <v>907</v>
      </c>
      <c r="C162" s="25" t="s">
        <v>908</v>
      </c>
      <c r="D162" s="58" t="s">
        <v>909</v>
      </c>
      <c r="E162" s="64" t="s">
        <v>910</v>
      </c>
      <c r="F162" s="58"/>
      <c r="G162" s="66" t="s">
        <v>911</v>
      </c>
      <c r="H162" s="67" t="s">
        <v>912</v>
      </c>
      <c r="I162" s="67" t="s">
        <v>913</v>
      </c>
    </row>
    <row r="163">
      <c r="A163" s="24" t="s">
        <v>795</v>
      </c>
      <c r="B163" s="24" t="s">
        <v>914</v>
      </c>
      <c r="C163" s="25" t="s">
        <v>915</v>
      </c>
      <c r="D163" s="58" t="s">
        <v>916</v>
      </c>
      <c r="E163" s="64" t="s">
        <v>917</v>
      </c>
      <c r="F163" s="31" t="s">
        <v>41</v>
      </c>
      <c r="G163" s="24" t="s">
        <v>918</v>
      </c>
      <c r="H163" s="24" t="s">
        <v>919</v>
      </c>
      <c r="I163" s="23" t="s">
        <v>920</v>
      </c>
    </row>
    <row r="164">
      <c r="A164" s="24" t="s">
        <v>795</v>
      </c>
      <c r="B164" s="24" t="s">
        <v>921</v>
      </c>
      <c r="C164" s="25" t="s">
        <v>922</v>
      </c>
      <c r="D164" s="58" t="s">
        <v>923</v>
      </c>
      <c r="E164" s="64" t="s">
        <v>924</v>
      </c>
      <c r="F164" s="31" t="s">
        <v>41</v>
      </c>
      <c r="G164" s="55" t="s">
        <v>925</v>
      </c>
      <c r="H164" s="24" t="s">
        <v>926</v>
      </c>
      <c r="I164" s="23" t="s">
        <v>927</v>
      </c>
    </row>
    <row r="165">
      <c r="A165" s="24" t="s">
        <v>795</v>
      </c>
      <c r="B165" s="24" t="s">
        <v>928</v>
      </c>
      <c r="C165" s="25" t="s">
        <v>929</v>
      </c>
      <c r="D165" s="23" t="s">
        <v>930</v>
      </c>
      <c r="E165" s="25" t="s">
        <v>931</v>
      </c>
      <c r="F165" s="36" t="s">
        <v>112</v>
      </c>
      <c r="G165" s="23"/>
      <c r="H165" s="23" t="s">
        <v>932</v>
      </c>
      <c r="I165" s="23" t="s">
        <v>933</v>
      </c>
      <c r="J165" s="23"/>
      <c r="K165" s="23"/>
      <c r="L165" s="26"/>
    </row>
    <row r="166">
      <c r="A166" s="24" t="s">
        <v>795</v>
      </c>
      <c r="B166" s="24" t="s">
        <v>934</v>
      </c>
      <c r="C166" s="25" t="s">
        <v>935</v>
      </c>
      <c r="D166" s="23" t="s">
        <v>936</v>
      </c>
      <c r="E166" s="25" t="s">
        <v>937</v>
      </c>
      <c r="F166" s="26"/>
      <c r="G166" s="26"/>
      <c r="H166" s="26"/>
      <c r="I166" s="26"/>
      <c r="J166" s="26"/>
      <c r="K166" s="26"/>
      <c r="L166" s="26"/>
    </row>
    <row r="167">
      <c r="A167" s="24" t="s">
        <v>795</v>
      </c>
      <c r="B167" s="24" t="s">
        <v>649</v>
      </c>
      <c r="C167" s="25" t="s">
        <v>650</v>
      </c>
      <c r="D167" s="23" t="s">
        <v>651</v>
      </c>
      <c r="E167" s="25" t="s">
        <v>652</v>
      </c>
      <c r="F167" s="26"/>
      <c r="G167" s="26"/>
      <c r="H167" s="26"/>
      <c r="I167" s="26"/>
      <c r="J167" s="26"/>
      <c r="K167" s="26"/>
      <c r="L167" s="26"/>
    </row>
    <row r="168">
      <c r="A168" s="24" t="s">
        <v>795</v>
      </c>
      <c r="B168" s="24" t="s">
        <v>938</v>
      </c>
      <c r="C168" s="25" t="s">
        <v>939</v>
      </c>
      <c r="D168" s="23" t="s">
        <v>940</v>
      </c>
      <c r="E168" s="25" t="s">
        <v>941</v>
      </c>
      <c r="F168" s="31" t="s">
        <v>41</v>
      </c>
      <c r="G168" s="23" t="s">
        <v>942</v>
      </c>
      <c r="H168" s="26"/>
      <c r="I168" s="23" t="s">
        <v>943</v>
      </c>
      <c r="J168" s="23"/>
      <c r="K168" s="23"/>
      <c r="L168" s="26"/>
    </row>
    <row r="169">
      <c r="A169" s="24" t="s">
        <v>795</v>
      </c>
      <c r="B169" s="24" t="s">
        <v>944</v>
      </c>
      <c r="C169" s="25" t="s">
        <v>945</v>
      </c>
      <c r="D169" s="23" t="s">
        <v>946</v>
      </c>
      <c r="E169" s="25" t="s">
        <v>947</v>
      </c>
      <c r="F169" s="23"/>
      <c r="G169" s="23" t="s">
        <v>948</v>
      </c>
      <c r="H169" s="23" t="s">
        <v>949</v>
      </c>
      <c r="I169" s="23" t="s">
        <v>950</v>
      </c>
      <c r="J169" s="23"/>
      <c r="K169" s="23"/>
      <c r="L169" s="26"/>
    </row>
    <row r="170">
      <c r="A170" s="24" t="s">
        <v>795</v>
      </c>
      <c r="B170" s="24" t="s">
        <v>951</v>
      </c>
      <c r="C170" s="25" t="s">
        <v>952</v>
      </c>
      <c r="D170" s="23" t="s">
        <v>953</v>
      </c>
      <c r="E170" s="25" t="s">
        <v>954</v>
      </c>
      <c r="F170" s="23"/>
      <c r="G170" s="23" t="s">
        <v>955</v>
      </c>
      <c r="H170" s="23" t="s">
        <v>956</v>
      </c>
      <c r="I170" s="23" t="s">
        <v>957</v>
      </c>
      <c r="J170" s="23"/>
      <c r="K170" s="23"/>
      <c r="L170" s="26"/>
    </row>
    <row r="171">
      <c r="A171" s="24" t="s">
        <v>795</v>
      </c>
      <c r="B171" s="24" t="s">
        <v>958</v>
      </c>
      <c r="C171" s="25" t="s">
        <v>959</v>
      </c>
      <c r="D171" s="23" t="s">
        <v>960</v>
      </c>
      <c r="E171" s="25" t="s">
        <v>961</v>
      </c>
      <c r="F171" s="26"/>
      <c r="G171" s="26"/>
      <c r="H171" s="26"/>
      <c r="I171" s="26"/>
      <c r="J171" s="26"/>
      <c r="K171" s="26"/>
      <c r="L171" s="26"/>
    </row>
    <row r="172">
      <c r="A172" s="24" t="s">
        <v>962</v>
      </c>
      <c r="B172" s="24" t="s">
        <v>963</v>
      </c>
      <c r="C172" s="25" t="s">
        <v>964</v>
      </c>
      <c r="D172" s="23" t="s">
        <v>965</v>
      </c>
      <c r="E172" s="25" t="s">
        <v>966</v>
      </c>
      <c r="F172" s="31" t="s">
        <v>41</v>
      </c>
      <c r="G172" s="60"/>
      <c r="H172" s="60"/>
      <c r="I172" s="59"/>
      <c r="J172" s="26"/>
      <c r="K172" s="26"/>
      <c r="L172" s="26"/>
    </row>
    <row r="173">
      <c r="A173" s="24" t="s">
        <v>962</v>
      </c>
      <c r="B173" s="24" t="s">
        <v>963</v>
      </c>
      <c r="C173" s="25" t="s">
        <v>967</v>
      </c>
      <c r="D173" s="23" t="s">
        <v>968</v>
      </c>
      <c r="E173" s="25" t="s">
        <v>969</v>
      </c>
      <c r="F173" s="31" t="s">
        <v>41</v>
      </c>
      <c r="G173" s="60"/>
      <c r="H173" s="62" t="s">
        <v>970</v>
      </c>
      <c r="I173" s="58" t="s">
        <v>971</v>
      </c>
      <c r="J173" s="23"/>
      <c r="K173" s="23"/>
      <c r="L173" s="26"/>
    </row>
    <row r="174">
      <c r="A174" s="24" t="s">
        <v>962</v>
      </c>
      <c r="B174" s="24" t="s">
        <v>972</v>
      </c>
      <c r="C174" s="25" t="s">
        <v>973</v>
      </c>
      <c r="D174" s="23" t="s">
        <v>974</v>
      </c>
      <c r="E174" s="25" t="s">
        <v>975</v>
      </c>
      <c r="F174" s="31" t="s">
        <v>41</v>
      </c>
      <c r="G174" s="60"/>
      <c r="H174" s="62" t="s">
        <v>976</v>
      </c>
      <c r="I174" s="58" t="s">
        <v>977</v>
      </c>
      <c r="J174" s="23"/>
      <c r="K174" s="23"/>
      <c r="L174" s="26"/>
    </row>
    <row r="175">
      <c r="A175" s="24" t="s">
        <v>962</v>
      </c>
      <c r="B175" s="24" t="s">
        <v>963</v>
      </c>
      <c r="C175" s="25" t="s">
        <v>978</v>
      </c>
      <c r="D175" s="23" t="s">
        <v>979</v>
      </c>
      <c r="E175" s="25" t="s">
        <v>980</v>
      </c>
      <c r="F175" s="31" t="s">
        <v>41</v>
      </c>
      <c r="G175" s="60"/>
      <c r="H175" s="62" t="s">
        <v>981</v>
      </c>
      <c r="I175" s="58" t="s">
        <v>982</v>
      </c>
      <c r="J175" s="23"/>
      <c r="K175" s="23"/>
      <c r="L175" s="26"/>
    </row>
    <row r="176">
      <c r="A176" s="24" t="s">
        <v>962</v>
      </c>
      <c r="B176" s="24" t="s">
        <v>102</v>
      </c>
      <c r="C176" s="25" t="s">
        <v>983</v>
      </c>
      <c r="D176" s="23" t="s">
        <v>984</v>
      </c>
      <c r="E176" s="25" t="s">
        <v>985</v>
      </c>
      <c r="F176" s="31" t="s">
        <v>41</v>
      </c>
      <c r="G176" s="60"/>
      <c r="H176" s="62" t="s">
        <v>986</v>
      </c>
      <c r="I176" s="58" t="s">
        <v>987</v>
      </c>
      <c r="J176" s="23"/>
      <c r="K176" s="23"/>
      <c r="L176" s="26"/>
    </row>
    <row r="177">
      <c r="A177" s="24" t="s">
        <v>962</v>
      </c>
      <c r="B177" s="24" t="s">
        <v>988</v>
      </c>
      <c r="C177" s="25" t="s">
        <v>989</v>
      </c>
      <c r="D177" s="23" t="s">
        <v>990</v>
      </c>
      <c r="E177" s="25" t="s">
        <v>991</v>
      </c>
      <c r="F177" s="31" t="s">
        <v>41</v>
      </c>
      <c r="G177" s="62" t="s">
        <v>992</v>
      </c>
      <c r="H177" s="62" t="s">
        <v>993</v>
      </c>
      <c r="I177" s="62" t="s">
        <v>994</v>
      </c>
      <c r="J177" s="23"/>
      <c r="K177" s="23"/>
      <c r="L177" s="26"/>
    </row>
    <row r="178">
      <c r="A178" s="24" t="s">
        <v>962</v>
      </c>
      <c r="B178" s="24" t="s">
        <v>995</v>
      </c>
      <c r="C178" s="25" t="s">
        <v>996</v>
      </c>
      <c r="D178" s="23" t="s">
        <v>997</v>
      </c>
      <c r="E178" s="25" t="s">
        <v>998</v>
      </c>
      <c r="F178" s="31" t="s">
        <v>41</v>
      </c>
      <c r="G178" s="65" t="s">
        <v>999</v>
      </c>
      <c r="H178" s="62" t="s">
        <v>1000</v>
      </c>
      <c r="I178" s="62" t="s">
        <v>1001</v>
      </c>
      <c r="J178" s="23"/>
      <c r="K178" s="23"/>
      <c r="L178" s="26"/>
    </row>
    <row r="179">
      <c r="A179" s="24" t="s">
        <v>962</v>
      </c>
      <c r="B179" s="24" t="s">
        <v>1002</v>
      </c>
      <c r="C179" s="25" t="s">
        <v>1003</v>
      </c>
      <c r="D179" s="23" t="s">
        <v>1004</v>
      </c>
      <c r="E179" s="25" t="s">
        <v>1005</v>
      </c>
      <c r="F179" s="31" t="s">
        <v>41</v>
      </c>
      <c r="G179" s="62" t="s">
        <v>1006</v>
      </c>
      <c r="H179" s="62" t="s">
        <v>1007</v>
      </c>
      <c r="I179" s="62" t="s">
        <v>1008</v>
      </c>
      <c r="J179" s="23"/>
      <c r="K179" s="23"/>
      <c r="L179" s="26"/>
    </row>
    <row r="180">
      <c r="A180" s="24" t="s">
        <v>962</v>
      </c>
      <c r="B180" s="24" t="s">
        <v>1009</v>
      </c>
      <c r="C180" s="25" t="s">
        <v>1010</v>
      </c>
      <c r="D180" s="23" t="s">
        <v>1011</v>
      </c>
      <c r="E180" s="25" t="s">
        <v>1012</v>
      </c>
      <c r="F180" s="36" t="s">
        <v>112</v>
      </c>
      <c r="G180" s="60"/>
      <c r="H180" s="62" t="s">
        <v>1013</v>
      </c>
      <c r="I180" s="58" t="s">
        <v>1014</v>
      </c>
      <c r="J180" s="23"/>
      <c r="K180" s="23"/>
      <c r="L180" s="26"/>
    </row>
    <row r="181">
      <c r="A181" s="24" t="s">
        <v>962</v>
      </c>
      <c r="B181" s="24" t="s">
        <v>1015</v>
      </c>
      <c r="C181" s="25" t="s">
        <v>1016</v>
      </c>
      <c r="D181" s="23" t="s">
        <v>1017</v>
      </c>
      <c r="E181" s="25" t="s">
        <v>1018</v>
      </c>
      <c r="F181" s="31" t="s">
        <v>41</v>
      </c>
      <c r="G181" s="65" t="s">
        <v>1019</v>
      </c>
      <c r="H181" s="62" t="s">
        <v>1020</v>
      </c>
      <c r="I181" s="62" t="s">
        <v>1021</v>
      </c>
      <c r="J181" s="23"/>
      <c r="K181" s="23"/>
      <c r="L181" s="26"/>
    </row>
    <row r="182">
      <c r="A182" s="24" t="s">
        <v>962</v>
      </c>
      <c r="B182" s="24" t="s">
        <v>1022</v>
      </c>
      <c r="C182" s="25" t="s">
        <v>1023</v>
      </c>
      <c r="D182" s="23" t="s">
        <v>1024</v>
      </c>
      <c r="E182" s="25" t="s">
        <v>1025</v>
      </c>
      <c r="F182" s="36" t="s">
        <v>112</v>
      </c>
      <c r="G182" s="62" t="s">
        <v>1026</v>
      </c>
      <c r="H182" s="60"/>
      <c r="I182" s="60"/>
      <c r="J182" s="26"/>
      <c r="K182" s="26"/>
      <c r="L182" s="26"/>
    </row>
    <row r="183">
      <c r="A183" s="24" t="s">
        <v>962</v>
      </c>
      <c r="B183" s="24" t="s">
        <v>1027</v>
      </c>
      <c r="C183" s="25" t="s">
        <v>234</v>
      </c>
      <c r="D183" s="23" t="s">
        <v>1028</v>
      </c>
      <c r="E183" s="25" t="s">
        <v>1029</v>
      </c>
      <c r="F183" s="59"/>
      <c r="G183" s="59"/>
      <c r="H183" s="59"/>
      <c r="I183" s="59"/>
      <c r="J183" s="26"/>
      <c r="K183" s="26"/>
      <c r="L183" s="26"/>
    </row>
    <row r="184">
      <c r="A184" s="24" t="s">
        <v>962</v>
      </c>
      <c r="B184" s="24" t="s">
        <v>1030</v>
      </c>
      <c r="C184" s="25" t="s">
        <v>1031</v>
      </c>
      <c r="D184" s="23" t="s">
        <v>1032</v>
      </c>
      <c r="E184" s="25" t="s">
        <v>1033</v>
      </c>
      <c r="F184" s="36" t="s">
        <v>112</v>
      </c>
      <c r="G184" s="62" t="s">
        <v>1034</v>
      </c>
      <c r="H184" s="62" t="s">
        <v>1035</v>
      </c>
      <c r="I184" s="62" t="s">
        <v>1036</v>
      </c>
      <c r="J184" s="23"/>
      <c r="K184" s="23"/>
      <c r="L184" s="26"/>
    </row>
    <row r="185">
      <c r="A185" s="24" t="s">
        <v>1037</v>
      </c>
      <c r="B185" s="24" t="s">
        <v>1038</v>
      </c>
      <c r="C185" s="25" t="s">
        <v>1039</v>
      </c>
      <c r="D185" s="62" t="s">
        <v>1040</v>
      </c>
      <c r="E185" s="25" t="s">
        <v>1041</v>
      </c>
      <c r="F185" s="31" t="s">
        <v>41</v>
      </c>
      <c r="G185" s="60"/>
      <c r="H185" s="60"/>
      <c r="I185" s="60"/>
      <c r="J185" s="26"/>
      <c r="K185" s="26"/>
      <c r="L185" s="26"/>
    </row>
    <row r="186">
      <c r="A186" s="24" t="s">
        <v>1037</v>
      </c>
      <c r="B186" s="24" t="s">
        <v>1042</v>
      </c>
      <c r="C186" s="25" t="s">
        <v>1043</v>
      </c>
      <c r="D186" s="62" t="s">
        <v>1044</v>
      </c>
      <c r="E186" s="25" t="s">
        <v>1045</v>
      </c>
      <c r="F186" s="31" t="s">
        <v>41</v>
      </c>
      <c r="G186" s="60"/>
      <c r="H186" s="60"/>
      <c r="I186" s="60"/>
      <c r="J186" s="26"/>
      <c r="K186" s="26"/>
      <c r="L186" s="26"/>
    </row>
    <row r="187">
      <c r="A187" s="24" t="s">
        <v>1037</v>
      </c>
      <c r="B187" s="24" t="s">
        <v>1046</v>
      </c>
      <c r="C187" s="25" t="s">
        <v>1047</v>
      </c>
      <c r="D187" s="58" t="s">
        <v>1048</v>
      </c>
      <c r="E187" s="25" t="s">
        <v>1049</v>
      </c>
      <c r="F187" s="31" t="s">
        <v>41</v>
      </c>
      <c r="G187" s="60"/>
      <c r="H187" s="60"/>
      <c r="I187" s="60"/>
      <c r="J187" s="26"/>
      <c r="K187" s="26"/>
      <c r="L187" s="26"/>
    </row>
    <row r="188">
      <c r="A188" s="24" t="s">
        <v>1037</v>
      </c>
      <c r="B188" s="24" t="s">
        <v>1050</v>
      </c>
      <c r="C188" s="25" t="s">
        <v>1047</v>
      </c>
      <c r="D188" s="61" t="s">
        <v>1051</v>
      </c>
      <c r="E188" s="25" t="s">
        <v>1052</v>
      </c>
      <c r="F188" s="31" t="s">
        <v>41</v>
      </c>
      <c r="G188" s="60"/>
      <c r="H188" s="60"/>
      <c r="I188" s="60"/>
      <c r="J188" s="26"/>
      <c r="K188" s="26"/>
      <c r="L188" s="26"/>
    </row>
    <row r="189">
      <c r="A189" s="24" t="s">
        <v>1037</v>
      </c>
      <c r="B189" s="24" t="s">
        <v>1050</v>
      </c>
      <c r="C189" s="25" t="s">
        <v>1053</v>
      </c>
      <c r="D189" s="58" t="s">
        <v>1054</v>
      </c>
      <c r="E189" s="25" t="s">
        <v>1055</v>
      </c>
      <c r="F189" s="31" t="s">
        <v>41</v>
      </c>
      <c r="G189" s="60"/>
      <c r="H189" s="60"/>
      <c r="I189" s="60"/>
      <c r="J189" s="26"/>
      <c r="K189" s="26"/>
      <c r="L189" s="26"/>
    </row>
    <row r="190">
      <c r="A190" s="24" t="s">
        <v>1037</v>
      </c>
      <c r="B190" s="24" t="s">
        <v>1056</v>
      </c>
      <c r="C190" s="25" t="s">
        <v>1057</v>
      </c>
      <c r="D190" s="58" t="s">
        <v>1058</v>
      </c>
      <c r="E190" s="25" t="s">
        <v>1059</v>
      </c>
      <c r="F190" s="31" t="s">
        <v>41</v>
      </c>
      <c r="G190" s="60"/>
      <c r="H190" s="60"/>
      <c r="I190" s="60"/>
      <c r="J190" s="26"/>
      <c r="K190" s="26"/>
      <c r="L190" s="26"/>
    </row>
    <row r="191">
      <c r="A191" s="24" t="s">
        <v>1037</v>
      </c>
      <c r="B191" s="24" t="s">
        <v>1060</v>
      </c>
      <c r="C191" s="25" t="s">
        <v>1061</v>
      </c>
      <c r="D191" s="58" t="s">
        <v>1062</v>
      </c>
      <c r="E191" s="25" t="s">
        <v>1063</v>
      </c>
      <c r="F191" s="31" t="s">
        <v>41</v>
      </c>
      <c r="G191" s="60"/>
      <c r="H191" s="60"/>
      <c r="I191" s="60"/>
    </row>
    <row r="192">
      <c r="A192" s="24" t="s">
        <v>1037</v>
      </c>
      <c r="B192" s="24" t="s">
        <v>1064</v>
      </c>
      <c r="C192" s="25" t="s">
        <v>1065</v>
      </c>
      <c r="D192" s="58" t="s">
        <v>1066</v>
      </c>
      <c r="E192" s="25" t="s">
        <v>1067</v>
      </c>
      <c r="F192" s="31" t="s">
        <v>41</v>
      </c>
      <c r="G192" s="60"/>
      <c r="H192" s="60"/>
      <c r="I192" s="60"/>
    </row>
    <row r="193">
      <c r="A193" s="24" t="s">
        <v>1037</v>
      </c>
      <c r="B193" s="24" t="s">
        <v>1068</v>
      </c>
      <c r="C193" s="25" t="s">
        <v>1069</v>
      </c>
      <c r="D193" s="58" t="s">
        <v>1070</v>
      </c>
      <c r="E193" s="25" t="s">
        <v>1071</v>
      </c>
      <c r="F193" s="31" t="s">
        <v>41</v>
      </c>
      <c r="G193" s="69" t="s">
        <v>1072</v>
      </c>
      <c r="H193" s="60" t="s">
        <v>1073</v>
      </c>
      <c r="I193" s="60" t="s">
        <v>1074</v>
      </c>
    </row>
    <row r="194">
      <c r="A194" s="24" t="s">
        <v>1037</v>
      </c>
      <c r="B194" s="24" t="s">
        <v>275</v>
      </c>
      <c r="C194" s="25" t="s">
        <v>276</v>
      </c>
      <c r="D194" s="58" t="s">
        <v>277</v>
      </c>
      <c r="E194" s="25" t="s">
        <v>278</v>
      </c>
      <c r="F194" s="31" t="s">
        <v>41</v>
      </c>
      <c r="G194" s="60" t="s">
        <v>279</v>
      </c>
      <c r="H194" s="60" t="s">
        <v>280</v>
      </c>
      <c r="I194" s="60" t="s">
        <v>281</v>
      </c>
    </row>
    <row r="195">
      <c r="A195" s="24" t="s">
        <v>1037</v>
      </c>
      <c r="B195" s="24" t="s">
        <v>349</v>
      </c>
      <c r="C195" s="25" t="s">
        <v>350</v>
      </c>
      <c r="D195" s="58" t="s">
        <v>351</v>
      </c>
      <c r="E195" s="25" t="s">
        <v>352</v>
      </c>
      <c r="F195" s="36" t="s">
        <v>112</v>
      </c>
      <c r="G195" s="60"/>
      <c r="H195" s="60" t="s">
        <v>353</v>
      </c>
      <c r="I195" s="60" t="s">
        <v>354</v>
      </c>
    </row>
    <row r="196">
      <c r="A196" s="24" t="s">
        <v>1037</v>
      </c>
      <c r="B196" s="24" t="s">
        <v>349</v>
      </c>
      <c r="C196" s="25" t="s">
        <v>1075</v>
      </c>
      <c r="D196" s="58" t="s">
        <v>1076</v>
      </c>
      <c r="E196" s="23"/>
      <c r="F196" s="59"/>
      <c r="G196" s="70" t="s">
        <v>1077</v>
      </c>
      <c r="H196" s="59"/>
      <c r="I196" s="60"/>
    </row>
    <row r="197">
      <c r="A197" s="24" t="s">
        <v>1037</v>
      </c>
      <c r="B197" s="24" t="s">
        <v>360</v>
      </c>
      <c r="C197" s="25" t="s">
        <v>361</v>
      </c>
      <c r="D197" s="58" t="s">
        <v>362</v>
      </c>
      <c r="E197" s="25" t="s">
        <v>363</v>
      </c>
      <c r="F197" s="36" t="s">
        <v>112</v>
      </c>
      <c r="G197" s="60" t="s">
        <v>365</v>
      </c>
      <c r="H197" s="60" t="s">
        <v>366</v>
      </c>
      <c r="I197" s="60" t="s">
        <v>367</v>
      </c>
    </row>
    <row r="198">
      <c r="A198" s="24" t="s">
        <v>1037</v>
      </c>
      <c r="B198" s="24" t="s">
        <v>1078</v>
      </c>
      <c r="C198" s="25" t="s">
        <v>1079</v>
      </c>
      <c r="D198" s="58" t="s">
        <v>1080</v>
      </c>
      <c r="E198" s="25" t="s">
        <v>1081</v>
      </c>
      <c r="F198" s="36" t="s">
        <v>112</v>
      </c>
      <c r="G198" s="60" t="s">
        <v>1082</v>
      </c>
      <c r="H198" s="60"/>
      <c r="I198" s="60" t="s">
        <v>1083</v>
      </c>
    </row>
    <row r="199">
      <c r="A199" s="24" t="s">
        <v>1037</v>
      </c>
      <c r="B199" s="24" t="s">
        <v>1084</v>
      </c>
      <c r="C199" s="25" t="s">
        <v>1085</v>
      </c>
      <c r="D199" s="58" t="s">
        <v>1086</v>
      </c>
      <c r="E199" s="25" t="s">
        <v>1087</v>
      </c>
      <c r="F199" s="60"/>
      <c r="G199" s="60"/>
      <c r="H199" s="59"/>
      <c r="I199" s="59"/>
    </row>
    <row r="200">
      <c r="A200" s="24" t="s">
        <v>1037</v>
      </c>
      <c r="B200" s="24" t="s">
        <v>1088</v>
      </c>
      <c r="C200" s="25" t="s">
        <v>1089</v>
      </c>
      <c r="D200" s="58" t="s">
        <v>1090</v>
      </c>
      <c r="E200" s="25" t="s">
        <v>1091</v>
      </c>
      <c r="F200" s="31" t="s">
        <v>41</v>
      </c>
      <c r="G200" s="69" t="s">
        <v>1092</v>
      </c>
      <c r="H200" s="60" t="s">
        <v>1093</v>
      </c>
      <c r="I200" s="60" t="s">
        <v>1094</v>
      </c>
    </row>
    <row r="201">
      <c r="A201" s="24" t="s">
        <v>1037</v>
      </c>
      <c r="B201" s="24" t="s">
        <v>1095</v>
      </c>
      <c r="C201" s="25" t="s">
        <v>1096</v>
      </c>
      <c r="D201" s="58" t="s">
        <v>1097</v>
      </c>
      <c r="E201" s="25" t="s">
        <v>1098</v>
      </c>
      <c r="F201" s="60"/>
      <c r="G201" s="60"/>
      <c r="H201" s="59"/>
      <c r="I201" s="59"/>
    </row>
    <row r="202">
      <c r="A202" s="24" t="s">
        <v>1037</v>
      </c>
      <c r="B202" s="24" t="s">
        <v>1099</v>
      </c>
      <c r="C202" s="25" t="s">
        <v>1100</v>
      </c>
      <c r="D202" s="58" t="s">
        <v>1101</v>
      </c>
      <c r="E202" s="25" t="s">
        <v>1102</v>
      </c>
      <c r="F202" s="31" t="s">
        <v>41</v>
      </c>
      <c r="G202" s="69" t="s">
        <v>1103</v>
      </c>
      <c r="H202" s="60" t="s">
        <v>1104</v>
      </c>
      <c r="I202" s="60" t="s">
        <v>1105</v>
      </c>
    </row>
    <row r="203">
      <c r="A203" s="24" t="s">
        <v>1037</v>
      </c>
      <c r="B203" s="24" t="s">
        <v>1106</v>
      </c>
      <c r="C203" s="25" t="s">
        <v>1107</v>
      </c>
      <c r="D203" s="58" t="s">
        <v>1108</v>
      </c>
      <c r="E203" s="25" t="s">
        <v>1109</v>
      </c>
      <c r="F203" s="31" t="s">
        <v>41</v>
      </c>
      <c r="G203" s="60" t="s">
        <v>1110</v>
      </c>
      <c r="H203" s="60" t="s">
        <v>1111</v>
      </c>
      <c r="I203" s="60" t="s">
        <v>1112</v>
      </c>
    </row>
    <row r="204">
      <c r="A204" s="24" t="s">
        <v>1037</v>
      </c>
      <c r="B204" s="24" t="s">
        <v>1113</v>
      </c>
      <c r="C204" s="25" t="s">
        <v>1114</v>
      </c>
      <c r="D204" s="58" t="s">
        <v>1115</v>
      </c>
      <c r="E204" s="25" t="s">
        <v>1116</v>
      </c>
      <c r="F204" s="31" t="s">
        <v>41</v>
      </c>
      <c r="G204" s="59" t="s">
        <v>1117</v>
      </c>
      <c r="H204" s="59" t="s">
        <v>700</v>
      </c>
      <c r="I204" s="60" t="s">
        <v>1118</v>
      </c>
    </row>
    <row r="205">
      <c r="A205" s="24" t="s">
        <v>1119</v>
      </c>
      <c r="B205" s="24" t="s">
        <v>1120</v>
      </c>
      <c r="C205" s="25" t="s">
        <v>1121</v>
      </c>
      <c r="D205" s="62" t="s">
        <v>1122</v>
      </c>
      <c r="E205" s="25" t="s">
        <v>1123</v>
      </c>
      <c r="F205" s="31" t="s">
        <v>41</v>
      </c>
      <c r="G205" s="60"/>
      <c r="H205" s="60"/>
      <c r="I205" s="60"/>
      <c r="J205" s="59"/>
      <c r="K205" s="59"/>
    </row>
    <row r="206">
      <c r="A206" s="24" t="s">
        <v>1119</v>
      </c>
      <c r="B206" s="24" t="s">
        <v>1124</v>
      </c>
      <c r="C206" s="25" t="s">
        <v>1121</v>
      </c>
      <c r="D206" s="62" t="s">
        <v>1125</v>
      </c>
      <c r="E206" s="25" t="s">
        <v>1126</v>
      </c>
      <c r="F206" s="31" t="s">
        <v>41</v>
      </c>
      <c r="G206" s="60"/>
      <c r="H206" s="60"/>
      <c r="I206" s="59"/>
      <c r="J206" s="59"/>
      <c r="K206" s="59"/>
    </row>
    <row r="207">
      <c r="A207" s="24" t="s">
        <v>1119</v>
      </c>
      <c r="B207" s="24" t="s">
        <v>1127</v>
      </c>
      <c r="C207" s="25" t="s">
        <v>1128</v>
      </c>
      <c r="D207" s="62" t="s">
        <v>1129</v>
      </c>
      <c r="E207" s="25" t="s">
        <v>1130</v>
      </c>
      <c r="F207" s="31" t="s">
        <v>41</v>
      </c>
      <c r="G207" s="60"/>
      <c r="H207" s="60"/>
      <c r="I207" s="59"/>
      <c r="J207" s="59"/>
      <c r="K207" s="59"/>
    </row>
    <row r="208">
      <c r="A208" s="24" t="s">
        <v>1119</v>
      </c>
      <c r="B208" s="24" t="s">
        <v>1131</v>
      </c>
      <c r="C208" s="25" t="s">
        <v>1132</v>
      </c>
      <c r="D208" s="23" t="s">
        <v>1133</v>
      </c>
      <c r="E208" s="25" t="s">
        <v>1134</v>
      </c>
      <c r="F208" s="31" t="s">
        <v>41</v>
      </c>
      <c r="G208" s="62" t="s">
        <v>1135</v>
      </c>
      <c r="H208" s="62" t="s">
        <v>1136</v>
      </c>
      <c r="I208" s="62" t="s">
        <v>1137</v>
      </c>
      <c r="J208" s="59"/>
      <c r="K208" s="59"/>
    </row>
    <row r="209">
      <c r="A209" s="24" t="s">
        <v>1119</v>
      </c>
      <c r="B209" s="24" t="s">
        <v>1138</v>
      </c>
      <c r="C209" s="25" t="s">
        <v>1139</v>
      </c>
      <c r="D209" s="62" t="s">
        <v>1140</v>
      </c>
      <c r="E209" s="25" t="s">
        <v>1141</v>
      </c>
      <c r="F209" s="30"/>
      <c r="G209" s="59"/>
      <c r="H209" s="59"/>
      <c r="I209" s="59"/>
      <c r="J209" s="59"/>
      <c r="K209" s="59"/>
    </row>
    <row r="210">
      <c r="A210" s="24" t="s">
        <v>1119</v>
      </c>
      <c r="B210" s="24" t="s">
        <v>1142</v>
      </c>
      <c r="C210" s="25" t="s">
        <v>1143</v>
      </c>
      <c r="D210" s="62" t="s">
        <v>1144</v>
      </c>
      <c r="E210" s="25" t="s">
        <v>1145</v>
      </c>
      <c r="F210" s="30"/>
      <c r="G210" s="60"/>
      <c r="H210" s="60" t="s">
        <v>1146</v>
      </c>
      <c r="I210" s="59"/>
      <c r="J210" s="59"/>
      <c r="K210" s="59" t="s">
        <v>1147</v>
      </c>
    </row>
    <row r="211">
      <c r="A211" s="24" t="s">
        <v>1119</v>
      </c>
      <c r="B211" s="24" t="s">
        <v>1148</v>
      </c>
      <c r="C211" s="25" t="s">
        <v>1149</v>
      </c>
      <c r="D211" s="62" t="s">
        <v>1150</v>
      </c>
      <c r="E211" s="25" t="s">
        <v>1151</v>
      </c>
      <c r="F211" s="30"/>
      <c r="G211" s="60"/>
      <c r="H211" s="60" t="s">
        <v>1146</v>
      </c>
      <c r="I211" s="69" t="s">
        <v>1152</v>
      </c>
      <c r="J211" s="59" t="s">
        <v>1153</v>
      </c>
      <c r="K211" s="59" t="s">
        <v>1154</v>
      </c>
    </row>
    <row r="212">
      <c r="A212" s="24" t="s">
        <v>1119</v>
      </c>
      <c r="B212" s="24" t="s">
        <v>1155</v>
      </c>
      <c r="C212" s="25" t="s">
        <v>1156</v>
      </c>
      <c r="D212" s="62" t="s">
        <v>1157</v>
      </c>
      <c r="E212" s="25" t="s">
        <v>1158</v>
      </c>
      <c r="F212" s="30"/>
      <c r="G212" s="59"/>
      <c r="H212" s="60" t="s">
        <v>1159</v>
      </c>
      <c r="I212" s="60" t="s">
        <v>1160</v>
      </c>
      <c r="J212" s="59" t="s">
        <v>1161</v>
      </c>
      <c r="K212" s="59" t="s">
        <v>1162</v>
      </c>
    </row>
    <row r="213">
      <c r="A213" s="24" t="s">
        <v>1119</v>
      </c>
      <c r="B213" s="24" t="s">
        <v>1163</v>
      </c>
      <c r="C213" s="25" t="s">
        <v>1164</v>
      </c>
      <c r="D213" s="23" t="s">
        <v>1165</v>
      </c>
      <c r="E213" s="25" t="s">
        <v>1166</v>
      </c>
      <c r="F213" s="31" t="s">
        <v>41</v>
      </c>
      <c r="G213" s="62"/>
      <c r="H213" s="62" t="s">
        <v>1167</v>
      </c>
      <c r="I213" s="58" t="s">
        <v>1168</v>
      </c>
      <c r="J213" s="30"/>
      <c r="K213" s="30"/>
    </row>
    <row r="214">
      <c r="A214" s="24" t="s">
        <v>1119</v>
      </c>
      <c r="B214" s="24" t="s">
        <v>1169</v>
      </c>
      <c r="C214" s="25" t="s">
        <v>1170</v>
      </c>
      <c r="D214" s="23" t="s">
        <v>1171</v>
      </c>
      <c r="E214" s="25" t="s">
        <v>1172</v>
      </c>
      <c r="F214" s="31" t="s">
        <v>41</v>
      </c>
      <c r="G214" s="62" t="s">
        <v>1173</v>
      </c>
      <c r="H214" s="62" t="s">
        <v>1174</v>
      </c>
      <c r="I214" s="62" t="s">
        <v>1175</v>
      </c>
      <c r="J214" s="30"/>
      <c r="K214" s="30"/>
    </row>
    <row r="215">
      <c r="A215" s="24" t="s">
        <v>1119</v>
      </c>
      <c r="B215" s="24" t="s">
        <v>1176</v>
      </c>
      <c r="C215" s="25" t="s">
        <v>1177</v>
      </c>
      <c r="D215" s="23" t="s">
        <v>1178</v>
      </c>
      <c r="E215" s="25" t="s">
        <v>1179</v>
      </c>
      <c r="F215" s="31" t="s">
        <v>41</v>
      </c>
      <c r="G215" s="62"/>
      <c r="H215" s="62" t="s">
        <v>1167</v>
      </c>
      <c r="I215" s="58" t="s">
        <v>1168</v>
      </c>
      <c r="J215" s="30"/>
      <c r="K215" s="30"/>
    </row>
    <row r="216">
      <c r="A216" s="24" t="s">
        <v>1119</v>
      </c>
      <c r="B216" s="24" t="s">
        <v>1180</v>
      </c>
      <c r="C216" s="25" t="s">
        <v>1181</v>
      </c>
      <c r="D216" s="23" t="s">
        <v>1182</v>
      </c>
      <c r="E216" s="25" t="s">
        <v>1183</v>
      </c>
      <c r="F216" s="36" t="s">
        <v>112</v>
      </c>
      <c r="G216" s="60" t="s">
        <v>1184</v>
      </c>
      <c r="H216" s="60"/>
      <c r="I216" s="60" t="s">
        <v>1185</v>
      </c>
    </row>
    <row r="217">
      <c r="A217" s="24" t="s">
        <v>1119</v>
      </c>
      <c r="B217" s="24" t="s">
        <v>1186</v>
      </c>
      <c r="C217" s="25" t="s">
        <v>1187</v>
      </c>
      <c r="D217" s="23" t="s">
        <v>1188</v>
      </c>
      <c r="E217" s="25" t="s">
        <v>1189</v>
      </c>
      <c r="F217" s="62"/>
      <c r="G217" s="62" t="s">
        <v>1190</v>
      </c>
      <c r="H217" s="58" t="s">
        <v>1191</v>
      </c>
      <c r="I217" s="62" t="s">
        <v>1192</v>
      </c>
    </row>
    <row r="218">
      <c r="A218" s="24" t="s">
        <v>1119</v>
      </c>
      <c r="B218" s="24" t="s">
        <v>1193</v>
      </c>
      <c r="C218" s="25" t="s">
        <v>1194</v>
      </c>
      <c r="D218" s="23" t="s">
        <v>1195</v>
      </c>
      <c r="E218" s="25" t="s">
        <v>1196</v>
      </c>
      <c r="F218" s="31" t="s">
        <v>41</v>
      </c>
      <c r="G218" s="69" t="s">
        <v>1197</v>
      </c>
      <c r="H218" s="60" t="s">
        <v>1198</v>
      </c>
      <c r="I218" s="60" t="s">
        <v>212</v>
      </c>
    </row>
    <row r="219">
      <c r="A219" s="24" t="s">
        <v>1119</v>
      </c>
      <c r="B219" s="24" t="s">
        <v>1199</v>
      </c>
      <c r="C219" s="25" t="s">
        <v>1200</v>
      </c>
      <c r="D219" s="23" t="s">
        <v>1201</v>
      </c>
      <c r="E219" s="25" t="s">
        <v>1202</v>
      </c>
      <c r="F219" s="31" t="s">
        <v>41</v>
      </c>
      <c r="G219" s="58" t="s">
        <v>1203</v>
      </c>
      <c r="H219" s="58" t="s">
        <v>1167</v>
      </c>
      <c r="I219" s="62" t="s">
        <v>1168</v>
      </c>
    </row>
    <row r="220">
      <c r="A220" s="24" t="s">
        <v>1119</v>
      </c>
      <c r="B220" s="24" t="s">
        <v>1204</v>
      </c>
      <c r="C220" s="25" t="s">
        <v>1205</v>
      </c>
      <c r="D220" s="23" t="s">
        <v>1206</v>
      </c>
      <c r="E220" s="25" t="s">
        <v>1207</v>
      </c>
      <c r="F220" s="57"/>
      <c r="G220" s="59" t="s">
        <v>1208</v>
      </c>
      <c r="H220" s="58" t="s">
        <v>1209</v>
      </c>
      <c r="I220" s="23"/>
    </row>
    <row r="221">
      <c r="A221" s="24" t="s">
        <v>1119</v>
      </c>
      <c r="B221" s="24" t="s">
        <v>1210</v>
      </c>
      <c r="C221" s="25" t="s">
        <v>1211</v>
      </c>
      <c r="D221" s="62" t="s">
        <v>1212</v>
      </c>
      <c r="E221" s="25" t="s">
        <v>1213</v>
      </c>
      <c r="F221" s="31" t="s">
        <v>41</v>
      </c>
      <c r="G221" s="58" t="s">
        <v>1214</v>
      </c>
      <c r="H221" s="58" t="s">
        <v>1215</v>
      </c>
      <c r="I221" s="62" t="s">
        <v>1216</v>
      </c>
      <c r="J221" s="58"/>
    </row>
    <row r="222">
      <c r="A222" s="24" t="s">
        <v>1119</v>
      </c>
      <c r="B222" s="24" t="s">
        <v>1217</v>
      </c>
      <c r="C222" s="25" t="s">
        <v>1218</v>
      </c>
      <c r="D222" s="62" t="s">
        <v>1219</v>
      </c>
      <c r="E222" s="25" t="s">
        <v>1220</v>
      </c>
      <c r="F222" s="31" t="s">
        <v>41</v>
      </c>
      <c r="G222" s="58" t="s">
        <v>1221</v>
      </c>
      <c r="H222" s="58"/>
      <c r="I222" s="62"/>
      <c r="J222" s="58"/>
    </row>
    <row r="223">
      <c r="A223" s="24" t="s">
        <v>1119</v>
      </c>
      <c r="B223" s="24" t="s">
        <v>1222</v>
      </c>
      <c r="C223" s="25" t="s">
        <v>1223</v>
      </c>
      <c r="D223" s="58" t="s">
        <v>1224</v>
      </c>
      <c r="E223" s="25" t="s">
        <v>1225</v>
      </c>
      <c r="F223" s="31" t="s">
        <v>41</v>
      </c>
      <c r="G223" s="58" t="s">
        <v>1226</v>
      </c>
      <c r="H223" s="58"/>
      <c r="I223" s="62"/>
      <c r="J223" s="58"/>
    </row>
    <row r="224">
      <c r="A224" s="24" t="s">
        <v>1119</v>
      </c>
      <c r="B224" s="24" t="s">
        <v>1227</v>
      </c>
      <c r="C224" s="25" t="s">
        <v>1228</v>
      </c>
      <c r="D224" s="58" t="s">
        <v>1229</v>
      </c>
      <c r="E224" s="25" t="s">
        <v>1230</v>
      </c>
      <c r="F224" s="31" t="s">
        <v>41</v>
      </c>
      <c r="G224" s="58" t="s">
        <v>1231</v>
      </c>
      <c r="H224" s="58" t="s">
        <v>1232</v>
      </c>
      <c r="I224" s="62" t="s">
        <v>1233</v>
      </c>
      <c r="J224" s="58"/>
    </row>
    <row r="225">
      <c r="A225" s="24" t="s">
        <v>1119</v>
      </c>
      <c r="B225" s="24" t="s">
        <v>1234</v>
      </c>
      <c r="C225" s="25" t="s">
        <v>1235</v>
      </c>
      <c r="D225" s="58" t="s">
        <v>1236</v>
      </c>
      <c r="E225" s="23"/>
      <c r="F225" s="58"/>
      <c r="G225" s="58" t="s">
        <v>1237</v>
      </c>
      <c r="H225" s="58"/>
      <c r="I225" s="62"/>
      <c r="J225" s="58"/>
    </row>
    <row r="226">
      <c r="A226" s="57"/>
      <c r="C226" s="26"/>
      <c r="D226" s="59"/>
      <c r="E226" s="26"/>
      <c r="F226" s="58"/>
      <c r="G226" s="58"/>
      <c r="H226" s="58"/>
      <c r="I226" s="58"/>
      <c r="J226" s="58"/>
    </row>
    <row r="227">
      <c r="A227" s="57"/>
      <c r="C227" s="26"/>
      <c r="D227" s="59"/>
      <c r="E227" s="26"/>
      <c r="F227" s="58"/>
      <c r="G227" s="58"/>
      <c r="H227" s="58"/>
      <c r="I227" s="58"/>
      <c r="J227" s="58"/>
    </row>
    <row r="228">
      <c r="A228" s="57"/>
      <c r="C228" s="26"/>
      <c r="D228" s="59"/>
      <c r="E228" s="26"/>
      <c r="F228" s="58"/>
      <c r="G228" s="58"/>
      <c r="H228" s="58"/>
      <c r="I228" s="58"/>
      <c r="J228" s="58"/>
    </row>
    <row r="229">
      <c r="A229" s="57"/>
      <c r="C229" s="26"/>
      <c r="D229" s="59"/>
      <c r="E229" s="26"/>
      <c r="F229" s="58"/>
      <c r="G229" s="58"/>
      <c r="H229" s="58"/>
      <c r="I229" s="58"/>
      <c r="J229" s="58"/>
    </row>
    <row r="230">
      <c r="A230" s="57"/>
      <c r="C230" s="26"/>
      <c r="D230" s="59"/>
      <c r="E230" s="26"/>
      <c r="F230" s="58"/>
      <c r="G230" s="58"/>
      <c r="H230" s="58"/>
      <c r="I230" s="58"/>
      <c r="J230" s="58"/>
    </row>
    <row r="231">
      <c r="A231" s="57"/>
      <c r="C231" s="26"/>
      <c r="D231" s="59"/>
      <c r="E231" s="26"/>
      <c r="F231" s="58"/>
      <c r="G231" s="58"/>
      <c r="H231" s="58"/>
      <c r="I231" s="58"/>
      <c r="J231" s="58"/>
    </row>
    <row r="232">
      <c r="A232" s="57"/>
      <c r="C232" s="26"/>
      <c r="D232" s="59"/>
      <c r="E232" s="26"/>
      <c r="F232" s="58"/>
      <c r="G232" s="58"/>
      <c r="H232" s="58"/>
      <c r="I232" s="58"/>
      <c r="J232" s="58"/>
    </row>
    <row r="233">
      <c r="A233" s="57"/>
      <c r="C233" s="26"/>
      <c r="D233" s="59"/>
      <c r="E233" s="26"/>
      <c r="F233" s="58"/>
      <c r="G233" s="58"/>
      <c r="H233" s="58"/>
      <c r="I233" s="58"/>
      <c r="J233" s="58"/>
    </row>
    <row r="234">
      <c r="A234" s="57"/>
      <c r="C234" s="26"/>
      <c r="D234" s="59"/>
      <c r="E234" s="26"/>
      <c r="F234" s="58"/>
      <c r="G234" s="58"/>
      <c r="H234" s="58"/>
      <c r="I234" s="58"/>
      <c r="J234" s="58"/>
    </row>
    <row r="235">
      <c r="A235" s="57"/>
      <c r="C235" s="26"/>
      <c r="D235" s="59"/>
      <c r="E235" s="26"/>
      <c r="F235" s="58"/>
      <c r="G235" s="58"/>
      <c r="H235" s="58"/>
      <c r="I235" s="58"/>
      <c r="J235" s="58"/>
    </row>
    <row r="236">
      <c r="A236" s="57"/>
      <c r="C236" s="26"/>
      <c r="D236" s="59"/>
      <c r="E236" s="26"/>
      <c r="F236" s="58"/>
      <c r="G236" s="58"/>
      <c r="H236" s="58"/>
      <c r="I236" s="58"/>
      <c r="J236" s="58"/>
    </row>
    <row r="237">
      <c r="A237" s="57"/>
      <c r="C237" s="26"/>
      <c r="D237" s="59"/>
      <c r="E237" s="26"/>
      <c r="F237" s="57"/>
      <c r="I237" s="26"/>
    </row>
    <row r="238">
      <c r="A238" s="57"/>
      <c r="C238" s="26"/>
      <c r="D238" s="59"/>
      <c r="E238" s="26"/>
      <c r="F238" s="57"/>
      <c r="I238" s="26"/>
    </row>
    <row r="239">
      <c r="A239" s="57"/>
      <c r="C239" s="26"/>
      <c r="D239" s="59"/>
      <c r="E239" s="26"/>
      <c r="F239" s="57"/>
      <c r="I239" s="26"/>
    </row>
    <row r="240">
      <c r="A240" s="57"/>
      <c r="C240" s="26"/>
      <c r="D240" s="59"/>
      <c r="E240" s="26"/>
      <c r="F240" s="57"/>
      <c r="I240" s="26"/>
    </row>
    <row r="241">
      <c r="A241" s="57"/>
      <c r="C241" s="26"/>
      <c r="E241" s="26"/>
      <c r="F241" s="57"/>
      <c r="I241" s="26"/>
    </row>
    <row r="242">
      <c r="A242" s="57"/>
      <c r="C242" s="26"/>
      <c r="E242" s="26"/>
      <c r="F242" s="57"/>
      <c r="I242" s="26"/>
    </row>
    <row r="243">
      <c r="A243" s="57"/>
      <c r="C243" s="26"/>
      <c r="E243" s="26"/>
      <c r="F243" s="57"/>
      <c r="I243" s="26"/>
    </row>
    <row r="244">
      <c r="A244" s="57"/>
      <c r="C244" s="26"/>
      <c r="E244" s="26"/>
      <c r="F244" s="57"/>
      <c r="I244" s="26"/>
    </row>
    <row r="245">
      <c r="A245" s="57"/>
      <c r="C245" s="26"/>
      <c r="E245" s="26"/>
      <c r="F245" s="57"/>
      <c r="I245" s="26"/>
    </row>
    <row r="246">
      <c r="A246" s="57"/>
      <c r="C246" s="26"/>
      <c r="E246" s="26"/>
      <c r="F246" s="57"/>
      <c r="I246" s="26"/>
    </row>
    <row r="247">
      <c r="A247" s="57"/>
      <c r="C247" s="26"/>
      <c r="E247" s="26"/>
      <c r="F247" s="57"/>
      <c r="I247" s="26"/>
    </row>
    <row r="248">
      <c r="A248" s="57"/>
      <c r="C248" s="26"/>
      <c r="E248" s="26"/>
      <c r="F248" s="57"/>
      <c r="I248" s="26"/>
    </row>
    <row r="249">
      <c r="A249" s="57"/>
      <c r="C249" s="26"/>
      <c r="E249" s="26"/>
      <c r="F249" s="57"/>
      <c r="I249" s="26"/>
    </row>
    <row r="250">
      <c r="A250" s="57"/>
      <c r="C250" s="26"/>
      <c r="E250" s="26"/>
      <c r="F250" s="57"/>
      <c r="I250" s="26"/>
    </row>
    <row r="251">
      <c r="A251" s="57"/>
      <c r="C251" s="26"/>
      <c r="E251" s="26"/>
      <c r="F251" s="57"/>
      <c r="I251" s="26"/>
    </row>
    <row r="252">
      <c r="A252" s="57"/>
      <c r="C252" s="26"/>
      <c r="E252" s="26"/>
      <c r="F252" s="57"/>
      <c r="I252" s="26"/>
    </row>
    <row r="253">
      <c r="A253" s="57"/>
      <c r="C253" s="26"/>
      <c r="E253" s="26"/>
      <c r="F253" s="57"/>
      <c r="I253" s="26"/>
    </row>
    <row r="254">
      <c r="A254" s="57"/>
      <c r="C254" s="26"/>
      <c r="E254" s="26"/>
      <c r="F254" s="57"/>
      <c r="I254" s="26"/>
    </row>
    <row r="255">
      <c r="A255" s="57"/>
      <c r="C255" s="26"/>
      <c r="E255" s="26"/>
      <c r="F255" s="57"/>
      <c r="I255" s="26"/>
    </row>
    <row r="256">
      <c r="A256" s="57"/>
      <c r="C256" s="26"/>
      <c r="E256" s="26"/>
      <c r="F256" s="57"/>
      <c r="I256" s="26"/>
    </row>
    <row r="257">
      <c r="A257" s="57"/>
      <c r="C257" s="26"/>
      <c r="E257" s="26"/>
      <c r="F257" s="57"/>
      <c r="I257" s="26"/>
    </row>
    <row r="258">
      <c r="A258" s="57"/>
      <c r="C258" s="26"/>
      <c r="E258" s="26"/>
      <c r="F258" s="57"/>
      <c r="I258" s="26"/>
    </row>
    <row r="259">
      <c r="A259" s="57"/>
      <c r="C259" s="26"/>
      <c r="E259" s="26"/>
      <c r="F259" s="57"/>
      <c r="I259" s="26"/>
    </row>
    <row r="260">
      <c r="A260" s="57"/>
      <c r="C260" s="26"/>
      <c r="E260" s="26"/>
      <c r="F260" s="57"/>
      <c r="I260" s="26"/>
    </row>
    <row r="261">
      <c r="A261" s="57"/>
      <c r="C261" s="26"/>
      <c r="E261" s="26"/>
      <c r="F261" s="57"/>
      <c r="I261" s="26"/>
    </row>
    <row r="262">
      <c r="A262" s="57"/>
      <c r="C262" s="26"/>
      <c r="E262" s="26"/>
      <c r="F262" s="57"/>
      <c r="I262" s="26"/>
    </row>
    <row r="263">
      <c r="A263" s="57"/>
      <c r="C263" s="26"/>
      <c r="E263" s="26"/>
      <c r="F263" s="57"/>
      <c r="I263" s="26"/>
    </row>
    <row r="264">
      <c r="A264" s="57"/>
      <c r="C264" s="26"/>
      <c r="E264" s="26"/>
      <c r="F264" s="57"/>
      <c r="I264" s="26"/>
    </row>
    <row r="265">
      <c r="A265" s="57"/>
      <c r="C265" s="26"/>
      <c r="E265" s="26"/>
      <c r="F265" s="57"/>
      <c r="I265" s="26"/>
    </row>
    <row r="266">
      <c r="A266" s="57"/>
      <c r="C266" s="26"/>
      <c r="E266" s="26"/>
      <c r="F266" s="57"/>
      <c r="I266" s="26"/>
    </row>
    <row r="267">
      <c r="A267" s="57"/>
      <c r="C267" s="26"/>
      <c r="E267" s="26"/>
      <c r="F267" s="57"/>
      <c r="I267" s="26"/>
    </row>
    <row r="268">
      <c r="A268" s="57"/>
      <c r="C268" s="26"/>
      <c r="E268" s="26"/>
      <c r="F268" s="57"/>
      <c r="I268" s="26"/>
    </row>
    <row r="269">
      <c r="A269" s="57"/>
      <c r="C269" s="26"/>
      <c r="E269" s="26"/>
      <c r="F269" s="57"/>
      <c r="I269" s="26"/>
    </row>
    <row r="270">
      <c r="A270" s="57"/>
      <c r="C270" s="26"/>
      <c r="E270" s="26"/>
      <c r="F270" s="57"/>
      <c r="I270" s="26"/>
    </row>
    <row r="271">
      <c r="A271" s="57"/>
      <c r="C271" s="26"/>
      <c r="E271" s="26"/>
      <c r="F271" s="57"/>
      <c r="I271" s="26"/>
    </row>
    <row r="272">
      <c r="A272" s="57"/>
      <c r="C272" s="26"/>
      <c r="E272" s="26"/>
      <c r="F272" s="57"/>
      <c r="I272" s="26"/>
    </row>
    <row r="273">
      <c r="A273" s="57"/>
      <c r="C273" s="26"/>
      <c r="E273" s="26"/>
      <c r="F273" s="57"/>
      <c r="I273" s="26"/>
    </row>
    <row r="274">
      <c r="A274" s="57"/>
      <c r="C274" s="26"/>
      <c r="E274" s="26"/>
      <c r="F274" s="57"/>
      <c r="I274" s="26"/>
    </row>
    <row r="275">
      <c r="A275" s="57"/>
      <c r="C275" s="26"/>
      <c r="E275" s="26"/>
      <c r="F275" s="57"/>
      <c r="I275" s="26"/>
    </row>
    <row r="276">
      <c r="A276" s="57"/>
      <c r="C276" s="26"/>
      <c r="E276" s="26"/>
      <c r="F276" s="57"/>
      <c r="I276" s="26"/>
    </row>
    <row r="277">
      <c r="A277" s="57"/>
      <c r="C277" s="26"/>
      <c r="E277" s="26"/>
      <c r="F277" s="57"/>
      <c r="I277" s="26"/>
    </row>
    <row r="278">
      <c r="A278" s="57"/>
      <c r="C278" s="26"/>
      <c r="E278" s="26"/>
      <c r="F278" s="57"/>
      <c r="I278" s="26"/>
    </row>
    <row r="279">
      <c r="A279" s="57"/>
      <c r="C279" s="26"/>
      <c r="E279" s="26"/>
      <c r="F279" s="57"/>
      <c r="I279" s="26"/>
    </row>
    <row r="280">
      <c r="A280" s="57"/>
      <c r="C280" s="26"/>
      <c r="E280" s="26"/>
      <c r="F280" s="57"/>
      <c r="I280" s="26"/>
    </row>
    <row r="281">
      <c r="A281" s="57"/>
      <c r="C281" s="26"/>
      <c r="E281" s="26"/>
      <c r="F281" s="57"/>
      <c r="I281" s="26"/>
    </row>
    <row r="282">
      <c r="A282" s="57"/>
      <c r="C282" s="26"/>
      <c r="E282" s="26"/>
      <c r="F282" s="57"/>
      <c r="I282" s="26"/>
    </row>
    <row r="283">
      <c r="A283" s="57"/>
      <c r="C283" s="26"/>
      <c r="E283" s="26"/>
      <c r="F283" s="57"/>
      <c r="I283" s="26"/>
    </row>
    <row r="284">
      <c r="A284" s="57"/>
      <c r="C284" s="26"/>
      <c r="E284" s="26"/>
      <c r="F284" s="57"/>
      <c r="I284" s="26"/>
    </row>
    <row r="285">
      <c r="A285" s="57"/>
      <c r="C285" s="26"/>
      <c r="E285" s="26"/>
      <c r="F285" s="57"/>
      <c r="I285" s="26"/>
    </row>
    <row r="286">
      <c r="A286" s="57"/>
      <c r="C286" s="26"/>
      <c r="E286" s="26"/>
      <c r="F286" s="57"/>
      <c r="I286" s="26"/>
    </row>
    <row r="287">
      <c r="A287" s="57"/>
      <c r="C287" s="26"/>
      <c r="E287" s="26"/>
      <c r="F287" s="57"/>
      <c r="I287" s="26"/>
    </row>
    <row r="288">
      <c r="A288" s="57"/>
      <c r="C288" s="26"/>
      <c r="E288" s="26"/>
      <c r="F288" s="57"/>
      <c r="I288" s="26"/>
    </row>
    <row r="289">
      <c r="A289" s="57"/>
      <c r="C289" s="26"/>
      <c r="E289" s="26"/>
      <c r="F289" s="57"/>
      <c r="I289" s="26"/>
    </row>
    <row r="290">
      <c r="A290" s="57"/>
      <c r="C290" s="26"/>
      <c r="E290" s="26"/>
      <c r="F290" s="57"/>
      <c r="I290" s="26"/>
    </row>
    <row r="291">
      <c r="A291" s="57"/>
      <c r="C291" s="26"/>
      <c r="E291" s="26"/>
      <c r="F291" s="57"/>
      <c r="I291" s="26"/>
    </row>
    <row r="292">
      <c r="A292" s="57"/>
      <c r="C292" s="26"/>
      <c r="E292" s="26"/>
      <c r="F292" s="57"/>
      <c r="I292" s="26"/>
    </row>
    <row r="293">
      <c r="A293" s="57"/>
      <c r="C293" s="26"/>
      <c r="E293" s="26"/>
      <c r="F293" s="57"/>
      <c r="I293" s="26"/>
    </row>
    <row r="294">
      <c r="A294" s="57"/>
      <c r="C294" s="26"/>
      <c r="E294" s="26"/>
      <c r="F294" s="57"/>
      <c r="I294" s="26"/>
    </row>
    <row r="295">
      <c r="A295" s="57"/>
      <c r="C295" s="26"/>
      <c r="E295" s="26"/>
      <c r="F295" s="57"/>
      <c r="I295" s="26"/>
    </row>
    <row r="296">
      <c r="A296" s="57"/>
      <c r="C296" s="26"/>
      <c r="E296" s="26"/>
      <c r="F296" s="57"/>
      <c r="I296" s="26"/>
    </row>
    <row r="297">
      <c r="A297" s="57"/>
      <c r="C297" s="26"/>
      <c r="E297" s="26"/>
      <c r="F297" s="57"/>
      <c r="I297" s="26"/>
    </row>
    <row r="298">
      <c r="A298" s="57"/>
      <c r="C298" s="26"/>
      <c r="E298" s="26"/>
      <c r="F298" s="57"/>
      <c r="I298" s="26"/>
    </row>
    <row r="299">
      <c r="A299" s="57"/>
      <c r="C299" s="26"/>
      <c r="E299" s="26"/>
      <c r="F299" s="57"/>
      <c r="I299" s="26"/>
    </row>
    <row r="300">
      <c r="A300" s="57"/>
      <c r="C300" s="26"/>
      <c r="E300" s="26"/>
      <c r="F300" s="57"/>
      <c r="I300" s="26"/>
    </row>
    <row r="301">
      <c r="A301" s="57"/>
      <c r="C301" s="26"/>
      <c r="E301" s="26"/>
      <c r="F301" s="57"/>
      <c r="I301" s="26"/>
    </row>
    <row r="302">
      <c r="A302" s="57"/>
      <c r="C302" s="26"/>
      <c r="E302" s="26"/>
      <c r="F302" s="57"/>
      <c r="I302" s="26"/>
    </row>
    <row r="303">
      <c r="A303" s="57"/>
      <c r="C303" s="26"/>
      <c r="E303" s="26"/>
      <c r="F303" s="57"/>
      <c r="I303" s="26"/>
    </row>
    <row r="304">
      <c r="A304" s="57"/>
      <c r="C304" s="26"/>
      <c r="E304" s="26"/>
      <c r="F304" s="57"/>
      <c r="I304" s="26"/>
    </row>
    <row r="305">
      <c r="A305" s="57"/>
      <c r="C305" s="26"/>
      <c r="E305" s="26"/>
      <c r="F305" s="57"/>
      <c r="I305" s="26"/>
    </row>
    <row r="306">
      <c r="A306" s="57"/>
      <c r="C306" s="26"/>
      <c r="E306" s="26"/>
      <c r="F306" s="57"/>
      <c r="I306" s="26"/>
    </row>
    <row r="307">
      <c r="A307" s="57"/>
      <c r="C307" s="26"/>
      <c r="E307" s="26"/>
      <c r="F307" s="57"/>
      <c r="I307" s="26"/>
    </row>
    <row r="308">
      <c r="A308" s="57"/>
      <c r="C308" s="26"/>
      <c r="E308" s="26"/>
      <c r="F308" s="57"/>
      <c r="I308" s="26"/>
    </row>
    <row r="309">
      <c r="A309" s="57"/>
      <c r="C309" s="26"/>
      <c r="E309" s="26"/>
      <c r="F309" s="57"/>
      <c r="I309" s="26"/>
    </row>
    <row r="310">
      <c r="A310" s="57"/>
      <c r="C310" s="26"/>
      <c r="E310" s="26"/>
      <c r="F310" s="57"/>
      <c r="I310" s="26"/>
    </row>
    <row r="311">
      <c r="A311" s="57"/>
      <c r="C311" s="26"/>
      <c r="E311" s="26"/>
      <c r="F311" s="57"/>
      <c r="I311" s="26"/>
    </row>
    <row r="312">
      <c r="A312" s="57"/>
      <c r="C312" s="26"/>
      <c r="E312" s="26"/>
      <c r="F312" s="57"/>
      <c r="I312" s="26"/>
    </row>
    <row r="313">
      <c r="A313" s="57"/>
      <c r="C313" s="26"/>
      <c r="E313" s="26"/>
      <c r="F313" s="57"/>
      <c r="I313" s="26"/>
    </row>
    <row r="314">
      <c r="A314" s="57"/>
      <c r="C314" s="26"/>
      <c r="E314" s="26"/>
      <c r="F314" s="57"/>
      <c r="I314" s="26"/>
    </row>
    <row r="315">
      <c r="A315" s="57"/>
      <c r="C315" s="26"/>
      <c r="E315" s="26"/>
      <c r="F315" s="57"/>
      <c r="I315" s="26"/>
    </row>
    <row r="316">
      <c r="A316" s="57"/>
      <c r="C316" s="26"/>
      <c r="E316" s="26"/>
      <c r="F316" s="57"/>
      <c r="I316" s="26"/>
    </row>
    <row r="317">
      <c r="A317" s="57"/>
      <c r="C317" s="26"/>
      <c r="E317" s="26"/>
      <c r="F317" s="57"/>
      <c r="I317" s="26"/>
    </row>
    <row r="318">
      <c r="A318" s="57"/>
      <c r="C318" s="26"/>
      <c r="E318" s="26"/>
      <c r="F318" s="57"/>
      <c r="I318" s="26"/>
    </row>
    <row r="319">
      <c r="A319" s="57"/>
      <c r="C319" s="26"/>
      <c r="E319" s="26"/>
      <c r="F319" s="57"/>
      <c r="I319" s="26"/>
    </row>
    <row r="320">
      <c r="A320" s="57"/>
      <c r="C320" s="26"/>
      <c r="E320" s="26"/>
      <c r="F320" s="57"/>
      <c r="I320" s="26"/>
    </row>
    <row r="321">
      <c r="A321" s="57"/>
      <c r="C321" s="26"/>
      <c r="E321" s="26"/>
      <c r="F321" s="57"/>
      <c r="I321" s="26"/>
    </row>
    <row r="322">
      <c r="A322" s="57"/>
      <c r="C322" s="26"/>
      <c r="E322" s="26"/>
      <c r="F322" s="57"/>
      <c r="I322" s="26"/>
    </row>
    <row r="323">
      <c r="A323" s="57"/>
      <c r="C323" s="26"/>
      <c r="E323" s="26"/>
      <c r="F323" s="57"/>
      <c r="I323" s="26"/>
    </row>
    <row r="324">
      <c r="A324" s="57"/>
      <c r="C324" s="26"/>
      <c r="E324" s="26"/>
      <c r="F324" s="57"/>
      <c r="I324" s="26"/>
    </row>
    <row r="325">
      <c r="A325" s="57"/>
      <c r="C325" s="26"/>
      <c r="E325" s="26"/>
      <c r="F325" s="57"/>
      <c r="I325" s="26"/>
    </row>
    <row r="326">
      <c r="A326" s="57"/>
      <c r="C326" s="26"/>
      <c r="E326" s="26"/>
      <c r="F326" s="57"/>
      <c r="I326" s="26"/>
    </row>
    <row r="327">
      <c r="A327" s="57"/>
      <c r="C327" s="26"/>
      <c r="E327" s="26"/>
      <c r="F327" s="57"/>
      <c r="I327" s="26"/>
    </row>
    <row r="328">
      <c r="A328" s="57"/>
      <c r="C328" s="26"/>
      <c r="E328" s="26"/>
      <c r="F328" s="57"/>
      <c r="I328" s="26"/>
    </row>
    <row r="329">
      <c r="A329" s="57"/>
      <c r="C329" s="26"/>
      <c r="E329" s="26"/>
      <c r="F329" s="57"/>
      <c r="I329" s="26"/>
    </row>
    <row r="330">
      <c r="A330" s="57"/>
      <c r="C330" s="26"/>
      <c r="E330" s="26"/>
      <c r="F330" s="57"/>
      <c r="I330" s="26"/>
    </row>
    <row r="331">
      <c r="A331" s="57"/>
      <c r="C331" s="26"/>
      <c r="E331" s="26"/>
      <c r="F331" s="57"/>
      <c r="I331" s="26"/>
    </row>
    <row r="332">
      <c r="A332" s="57"/>
      <c r="C332" s="26"/>
      <c r="E332" s="26"/>
      <c r="F332" s="57"/>
      <c r="I332" s="26"/>
    </row>
    <row r="333">
      <c r="A333" s="57"/>
      <c r="C333" s="26"/>
      <c r="E333" s="26"/>
      <c r="F333" s="57"/>
      <c r="I333" s="26"/>
    </row>
    <row r="334">
      <c r="A334" s="57"/>
      <c r="C334" s="26"/>
      <c r="E334" s="26"/>
      <c r="F334" s="57"/>
      <c r="I334" s="26"/>
    </row>
    <row r="335">
      <c r="A335" s="57"/>
      <c r="C335" s="26"/>
      <c r="E335" s="26"/>
      <c r="F335" s="57"/>
      <c r="I335" s="26"/>
    </row>
    <row r="336">
      <c r="A336" s="57"/>
      <c r="C336" s="26"/>
      <c r="E336" s="26"/>
      <c r="F336" s="57"/>
      <c r="I336" s="26"/>
    </row>
    <row r="337">
      <c r="A337" s="57"/>
      <c r="C337" s="26"/>
      <c r="E337" s="26"/>
      <c r="F337" s="57"/>
      <c r="I337" s="26"/>
    </row>
    <row r="338">
      <c r="A338" s="57"/>
      <c r="C338" s="26"/>
      <c r="E338" s="26"/>
      <c r="F338" s="57"/>
      <c r="I338" s="26"/>
    </row>
    <row r="339">
      <c r="A339" s="57"/>
      <c r="C339" s="26"/>
      <c r="E339" s="26"/>
      <c r="F339" s="57"/>
      <c r="I339" s="26"/>
    </row>
    <row r="340">
      <c r="A340" s="57"/>
      <c r="C340" s="26"/>
      <c r="E340" s="26"/>
      <c r="F340" s="57"/>
      <c r="I340" s="26"/>
    </row>
    <row r="341">
      <c r="A341" s="57"/>
      <c r="C341" s="26"/>
      <c r="E341" s="26"/>
      <c r="F341" s="57"/>
      <c r="I341" s="26"/>
    </row>
    <row r="342">
      <c r="A342" s="57"/>
      <c r="C342" s="26"/>
      <c r="E342" s="26"/>
      <c r="F342" s="57"/>
      <c r="I342" s="26"/>
    </row>
    <row r="343">
      <c r="A343" s="57"/>
      <c r="C343" s="26"/>
      <c r="E343" s="26"/>
      <c r="F343" s="57"/>
      <c r="I343" s="26"/>
    </row>
    <row r="344">
      <c r="A344" s="57"/>
      <c r="C344" s="26"/>
      <c r="E344" s="26"/>
      <c r="F344" s="57"/>
      <c r="I344" s="26"/>
    </row>
    <row r="345">
      <c r="A345" s="57"/>
      <c r="C345" s="26"/>
      <c r="E345" s="26"/>
      <c r="F345" s="57"/>
      <c r="I345" s="26"/>
    </row>
    <row r="346">
      <c r="A346" s="57"/>
      <c r="C346" s="26"/>
      <c r="E346" s="26"/>
      <c r="F346" s="57"/>
      <c r="I346" s="26"/>
    </row>
    <row r="347">
      <c r="A347" s="57"/>
      <c r="C347" s="26"/>
      <c r="E347" s="26"/>
      <c r="F347" s="57"/>
      <c r="I347" s="26"/>
    </row>
    <row r="348">
      <c r="A348" s="57"/>
      <c r="C348" s="26"/>
      <c r="E348" s="26"/>
      <c r="F348" s="57"/>
      <c r="I348" s="26"/>
    </row>
    <row r="349">
      <c r="A349" s="57"/>
      <c r="C349" s="26"/>
      <c r="E349" s="26"/>
      <c r="F349" s="57"/>
      <c r="I349" s="26"/>
    </row>
    <row r="350">
      <c r="A350" s="57"/>
      <c r="C350" s="26"/>
      <c r="E350" s="26"/>
      <c r="F350" s="57"/>
      <c r="I350" s="26"/>
    </row>
    <row r="351">
      <c r="A351" s="57"/>
      <c r="C351" s="26"/>
      <c r="E351" s="26"/>
      <c r="F351" s="57"/>
      <c r="I351" s="26"/>
    </row>
    <row r="352">
      <c r="A352" s="57"/>
      <c r="C352" s="26"/>
      <c r="E352" s="26"/>
      <c r="F352" s="57"/>
      <c r="I352" s="26"/>
    </row>
    <row r="353">
      <c r="A353" s="57"/>
      <c r="C353" s="26"/>
      <c r="E353" s="26"/>
      <c r="F353" s="57"/>
      <c r="I353" s="26"/>
    </row>
    <row r="354">
      <c r="A354" s="57"/>
      <c r="C354" s="26"/>
      <c r="E354" s="26"/>
      <c r="F354" s="57"/>
      <c r="I354" s="26"/>
    </row>
    <row r="355">
      <c r="A355" s="57"/>
      <c r="C355" s="26"/>
      <c r="E355" s="26"/>
      <c r="F355" s="57"/>
      <c r="I355" s="26"/>
    </row>
    <row r="356">
      <c r="A356" s="57"/>
      <c r="C356" s="26"/>
      <c r="E356" s="26"/>
      <c r="F356" s="57"/>
      <c r="I356" s="26"/>
    </row>
    <row r="357">
      <c r="A357" s="57"/>
      <c r="C357" s="26"/>
      <c r="E357" s="26"/>
      <c r="F357" s="57"/>
      <c r="I357" s="26"/>
    </row>
    <row r="358">
      <c r="A358" s="57"/>
      <c r="C358" s="26"/>
      <c r="E358" s="26"/>
      <c r="F358" s="57"/>
      <c r="I358" s="26"/>
    </row>
    <row r="359">
      <c r="A359" s="57"/>
      <c r="C359" s="26"/>
      <c r="E359" s="26"/>
      <c r="F359" s="57"/>
      <c r="I359" s="26"/>
    </row>
    <row r="360">
      <c r="A360" s="57"/>
      <c r="C360" s="26"/>
      <c r="E360" s="26"/>
      <c r="F360" s="57"/>
      <c r="I360" s="26"/>
    </row>
    <row r="361">
      <c r="A361" s="57"/>
      <c r="C361" s="26"/>
      <c r="E361" s="26"/>
      <c r="F361" s="57"/>
      <c r="I361" s="26"/>
    </row>
    <row r="362">
      <c r="A362" s="57"/>
      <c r="C362" s="26"/>
      <c r="E362" s="26"/>
      <c r="F362" s="57"/>
      <c r="I362" s="26"/>
    </row>
    <row r="363">
      <c r="A363" s="57"/>
      <c r="C363" s="26"/>
      <c r="E363" s="26"/>
      <c r="F363" s="57"/>
      <c r="I363" s="26"/>
    </row>
    <row r="364">
      <c r="A364" s="57"/>
      <c r="C364" s="26"/>
      <c r="E364" s="26"/>
      <c r="F364" s="57"/>
      <c r="I364" s="26"/>
    </row>
    <row r="365">
      <c r="A365" s="57"/>
      <c r="C365" s="26"/>
      <c r="E365" s="26"/>
      <c r="F365" s="57"/>
      <c r="I365" s="26"/>
    </row>
    <row r="366">
      <c r="A366" s="57"/>
      <c r="C366" s="26"/>
      <c r="E366" s="26"/>
      <c r="F366" s="57"/>
      <c r="I366" s="26"/>
    </row>
    <row r="367">
      <c r="A367" s="57"/>
      <c r="C367" s="26"/>
      <c r="E367" s="26"/>
      <c r="F367" s="57"/>
      <c r="I367" s="26"/>
    </row>
    <row r="368">
      <c r="A368" s="57"/>
      <c r="C368" s="26"/>
      <c r="E368" s="26"/>
      <c r="F368" s="57"/>
      <c r="I368" s="26"/>
    </row>
    <row r="369">
      <c r="A369" s="57"/>
      <c r="C369" s="26"/>
      <c r="E369" s="26"/>
      <c r="F369" s="57"/>
      <c r="I369" s="26"/>
    </row>
    <row r="370">
      <c r="A370" s="57"/>
      <c r="C370" s="26"/>
      <c r="E370" s="26"/>
      <c r="F370" s="57"/>
      <c r="I370" s="26"/>
    </row>
    <row r="371">
      <c r="A371" s="57"/>
      <c r="C371" s="26"/>
      <c r="E371" s="26"/>
      <c r="F371" s="57"/>
      <c r="I371" s="26"/>
    </row>
    <row r="372">
      <c r="A372" s="57"/>
      <c r="C372" s="26"/>
      <c r="E372" s="26"/>
      <c r="F372" s="57"/>
      <c r="I372" s="26"/>
    </row>
    <row r="373">
      <c r="A373" s="57"/>
      <c r="C373" s="26"/>
      <c r="E373" s="26"/>
      <c r="F373" s="57"/>
      <c r="I373" s="26"/>
    </row>
    <row r="374">
      <c r="A374" s="57"/>
      <c r="C374" s="26"/>
      <c r="E374" s="26"/>
      <c r="F374" s="57"/>
      <c r="I374" s="26"/>
    </row>
    <row r="375">
      <c r="A375" s="57"/>
      <c r="C375" s="26"/>
      <c r="E375" s="26"/>
      <c r="F375" s="57"/>
      <c r="I375" s="26"/>
    </row>
    <row r="376">
      <c r="A376" s="57"/>
      <c r="C376" s="26"/>
      <c r="E376" s="26"/>
      <c r="F376" s="57"/>
      <c r="I376" s="26"/>
    </row>
    <row r="377">
      <c r="A377" s="57"/>
      <c r="C377" s="26"/>
      <c r="E377" s="26"/>
      <c r="F377" s="57"/>
      <c r="I377" s="26"/>
    </row>
    <row r="378">
      <c r="A378" s="57"/>
      <c r="C378" s="26"/>
      <c r="E378" s="26"/>
      <c r="F378" s="57"/>
      <c r="I378" s="26"/>
    </row>
    <row r="379">
      <c r="A379" s="57"/>
      <c r="C379" s="26"/>
      <c r="E379" s="26"/>
      <c r="F379" s="57"/>
      <c r="I379" s="26"/>
    </row>
    <row r="380">
      <c r="A380" s="57"/>
      <c r="C380" s="26"/>
      <c r="E380" s="26"/>
      <c r="F380" s="57"/>
      <c r="I380" s="26"/>
    </row>
    <row r="381">
      <c r="A381" s="57"/>
      <c r="C381" s="26"/>
      <c r="E381" s="26"/>
      <c r="F381" s="57"/>
      <c r="I381" s="26"/>
    </row>
    <row r="382">
      <c r="A382" s="57"/>
      <c r="C382" s="26"/>
      <c r="E382" s="26"/>
      <c r="F382" s="57"/>
      <c r="I382" s="26"/>
    </row>
    <row r="383">
      <c r="A383" s="57"/>
      <c r="C383" s="26"/>
      <c r="E383" s="26"/>
      <c r="F383" s="57"/>
      <c r="I383" s="26"/>
    </row>
    <row r="384">
      <c r="A384" s="57"/>
      <c r="C384" s="26"/>
      <c r="E384" s="26"/>
      <c r="F384" s="57"/>
      <c r="I384" s="26"/>
    </row>
    <row r="385">
      <c r="A385" s="57"/>
      <c r="C385" s="26"/>
      <c r="E385" s="26"/>
      <c r="F385" s="57"/>
      <c r="I385" s="26"/>
    </row>
    <row r="386">
      <c r="A386" s="57"/>
      <c r="C386" s="26"/>
      <c r="E386" s="26"/>
      <c r="F386" s="57"/>
      <c r="I386" s="26"/>
    </row>
    <row r="387">
      <c r="A387" s="57"/>
      <c r="C387" s="26"/>
      <c r="E387" s="26"/>
      <c r="F387" s="57"/>
      <c r="I387" s="26"/>
    </row>
    <row r="388">
      <c r="A388" s="57"/>
      <c r="C388" s="26"/>
      <c r="E388" s="26"/>
      <c r="F388" s="57"/>
      <c r="I388" s="26"/>
    </row>
    <row r="389">
      <c r="A389" s="57"/>
      <c r="C389" s="26"/>
      <c r="E389" s="26"/>
      <c r="F389" s="57"/>
      <c r="I389" s="26"/>
    </row>
    <row r="390">
      <c r="A390" s="57"/>
      <c r="C390" s="26"/>
      <c r="E390" s="26"/>
      <c r="F390" s="57"/>
      <c r="I390" s="26"/>
    </row>
    <row r="391">
      <c r="A391" s="57"/>
      <c r="C391" s="26"/>
      <c r="E391" s="26"/>
      <c r="F391" s="57"/>
      <c r="I391" s="26"/>
    </row>
    <row r="392">
      <c r="A392" s="57"/>
      <c r="C392" s="26"/>
      <c r="E392" s="26"/>
      <c r="F392" s="57"/>
      <c r="I392" s="26"/>
    </row>
    <row r="393">
      <c r="A393" s="57"/>
      <c r="C393" s="26"/>
      <c r="E393" s="26"/>
      <c r="F393" s="57"/>
      <c r="I393" s="26"/>
    </row>
    <row r="394">
      <c r="A394" s="57"/>
      <c r="C394" s="26"/>
      <c r="E394" s="26"/>
      <c r="F394" s="57"/>
      <c r="I394" s="26"/>
    </row>
    <row r="395">
      <c r="A395" s="57"/>
      <c r="C395" s="26"/>
      <c r="E395" s="26"/>
      <c r="F395" s="57"/>
      <c r="I395" s="26"/>
    </row>
    <row r="396">
      <c r="A396" s="57"/>
      <c r="C396" s="26"/>
      <c r="E396" s="26"/>
      <c r="F396" s="57"/>
      <c r="I396" s="26"/>
    </row>
    <row r="397">
      <c r="A397" s="57"/>
      <c r="C397" s="26"/>
      <c r="E397" s="26"/>
      <c r="F397" s="57"/>
      <c r="I397" s="26"/>
    </row>
    <row r="398">
      <c r="A398" s="57"/>
      <c r="C398" s="26"/>
      <c r="E398" s="26"/>
      <c r="F398" s="57"/>
      <c r="I398" s="26"/>
    </row>
    <row r="399">
      <c r="A399" s="57"/>
      <c r="C399" s="26"/>
      <c r="E399" s="26"/>
      <c r="F399" s="57"/>
      <c r="I399" s="26"/>
    </row>
    <row r="400">
      <c r="A400" s="57"/>
      <c r="C400" s="26"/>
      <c r="E400" s="26"/>
      <c r="F400" s="57"/>
      <c r="I400" s="26"/>
    </row>
    <row r="401">
      <c r="A401" s="57"/>
      <c r="C401" s="26"/>
      <c r="E401" s="26"/>
      <c r="F401" s="57"/>
      <c r="I401" s="26"/>
    </row>
    <row r="402">
      <c r="A402" s="57"/>
      <c r="C402" s="26"/>
      <c r="E402" s="26"/>
      <c r="F402" s="57"/>
      <c r="I402" s="26"/>
    </row>
    <row r="403">
      <c r="A403" s="57"/>
      <c r="C403" s="26"/>
      <c r="E403" s="26"/>
      <c r="F403" s="57"/>
      <c r="I403" s="26"/>
    </row>
    <row r="404">
      <c r="A404" s="57"/>
      <c r="C404" s="26"/>
      <c r="E404" s="26"/>
      <c r="F404" s="57"/>
      <c r="I404" s="26"/>
    </row>
    <row r="405">
      <c r="A405" s="57"/>
      <c r="C405" s="26"/>
      <c r="E405" s="26"/>
      <c r="F405" s="57"/>
      <c r="I405" s="26"/>
    </row>
    <row r="406">
      <c r="A406" s="57"/>
      <c r="C406" s="26"/>
      <c r="E406" s="26"/>
      <c r="F406" s="57"/>
      <c r="I406" s="26"/>
    </row>
    <row r="407">
      <c r="A407" s="57"/>
      <c r="C407" s="26"/>
      <c r="E407" s="26"/>
      <c r="F407" s="57"/>
      <c r="I407" s="26"/>
    </row>
    <row r="408">
      <c r="A408" s="57"/>
      <c r="C408" s="26"/>
      <c r="E408" s="26"/>
      <c r="F408" s="57"/>
      <c r="I408" s="26"/>
    </row>
    <row r="409">
      <c r="A409" s="57"/>
      <c r="C409" s="26"/>
      <c r="E409" s="26"/>
      <c r="F409" s="57"/>
      <c r="I409" s="26"/>
    </row>
    <row r="410">
      <c r="A410" s="57"/>
      <c r="C410" s="26"/>
      <c r="E410" s="26"/>
      <c r="F410" s="57"/>
      <c r="I410" s="26"/>
    </row>
    <row r="411">
      <c r="A411" s="57"/>
      <c r="C411" s="26"/>
      <c r="E411" s="26"/>
      <c r="F411" s="57"/>
      <c r="I411" s="26"/>
    </row>
    <row r="412">
      <c r="A412" s="57"/>
      <c r="C412" s="26"/>
      <c r="E412" s="26"/>
      <c r="F412" s="57"/>
      <c r="I412" s="26"/>
    </row>
    <row r="413">
      <c r="A413" s="57"/>
      <c r="C413" s="26"/>
      <c r="E413" s="26"/>
      <c r="F413" s="57"/>
      <c r="I413" s="26"/>
    </row>
    <row r="414">
      <c r="A414" s="57"/>
      <c r="C414" s="26"/>
      <c r="E414" s="26"/>
      <c r="F414" s="57"/>
      <c r="I414" s="26"/>
    </row>
    <row r="415">
      <c r="A415" s="57"/>
      <c r="C415" s="26"/>
      <c r="E415" s="26"/>
      <c r="F415" s="57"/>
      <c r="I415" s="26"/>
    </row>
    <row r="416">
      <c r="A416" s="57"/>
      <c r="C416" s="26"/>
      <c r="E416" s="26"/>
      <c r="F416" s="57"/>
      <c r="I416" s="26"/>
    </row>
    <row r="417">
      <c r="A417" s="57"/>
      <c r="C417" s="26"/>
      <c r="E417" s="26"/>
      <c r="F417" s="57"/>
      <c r="I417" s="26"/>
    </row>
    <row r="418">
      <c r="A418" s="57"/>
      <c r="C418" s="26"/>
      <c r="E418" s="26"/>
      <c r="F418" s="57"/>
      <c r="I418" s="26"/>
    </row>
    <row r="419">
      <c r="A419" s="57"/>
      <c r="C419" s="26"/>
      <c r="E419" s="26"/>
      <c r="F419" s="57"/>
      <c r="I419" s="26"/>
    </row>
    <row r="420">
      <c r="A420" s="57"/>
      <c r="C420" s="26"/>
      <c r="E420" s="26"/>
      <c r="F420" s="57"/>
      <c r="I420" s="26"/>
    </row>
    <row r="421">
      <c r="A421" s="57"/>
      <c r="C421" s="26"/>
      <c r="E421" s="26"/>
      <c r="F421" s="57"/>
      <c r="I421" s="26"/>
    </row>
    <row r="422">
      <c r="A422" s="57"/>
      <c r="C422" s="26"/>
      <c r="E422" s="26"/>
      <c r="F422" s="57"/>
      <c r="I422" s="26"/>
    </row>
    <row r="423">
      <c r="A423" s="57"/>
      <c r="C423" s="26"/>
      <c r="E423" s="26"/>
      <c r="F423" s="57"/>
      <c r="I423" s="26"/>
    </row>
    <row r="424">
      <c r="A424" s="57"/>
      <c r="C424" s="26"/>
      <c r="E424" s="26"/>
      <c r="F424" s="57"/>
      <c r="I424" s="26"/>
    </row>
    <row r="425">
      <c r="A425" s="57"/>
      <c r="C425" s="26"/>
      <c r="E425" s="26"/>
      <c r="F425" s="57"/>
      <c r="I425" s="26"/>
    </row>
    <row r="426">
      <c r="A426" s="57"/>
      <c r="C426" s="26"/>
      <c r="E426" s="26"/>
      <c r="F426" s="57"/>
      <c r="I426" s="26"/>
    </row>
    <row r="427">
      <c r="A427" s="57"/>
      <c r="C427" s="26"/>
      <c r="E427" s="26"/>
      <c r="F427" s="57"/>
      <c r="I427" s="26"/>
    </row>
    <row r="428">
      <c r="A428" s="57"/>
      <c r="C428" s="26"/>
      <c r="E428" s="26"/>
      <c r="F428" s="57"/>
      <c r="I428" s="26"/>
    </row>
    <row r="429">
      <c r="A429" s="57"/>
      <c r="C429" s="26"/>
      <c r="E429" s="26"/>
      <c r="F429" s="57"/>
      <c r="I429" s="26"/>
    </row>
    <row r="430">
      <c r="A430" s="57"/>
      <c r="C430" s="26"/>
      <c r="E430" s="26"/>
      <c r="F430" s="57"/>
      <c r="I430" s="26"/>
    </row>
    <row r="431">
      <c r="A431" s="57"/>
      <c r="C431" s="26"/>
      <c r="E431" s="26"/>
      <c r="F431" s="57"/>
      <c r="I431" s="26"/>
    </row>
    <row r="432">
      <c r="A432" s="57"/>
      <c r="C432" s="26"/>
      <c r="E432" s="26"/>
      <c r="F432" s="57"/>
      <c r="I432" s="26"/>
    </row>
    <row r="433">
      <c r="A433" s="57"/>
      <c r="C433" s="26"/>
      <c r="E433" s="26"/>
      <c r="F433" s="57"/>
      <c r="I433" s="26"/>
    </row>
    <row r="434">
      <c r="A434" s="57"/>
      <c r="C434" s="26"/>
      <c r="E434" s="26"/>
      <c r="F434" s="57"/>
      <c r="I434" s="26"/>
    </row>
    <row r="435">
      <c r="A435" s="57"/>
      <c r="C435" s="26"/>
      <c r="E435" s="26"/>
      <c r="F435" s="57"/>
      <c r="I435" s="26"/>
    </row>
    <row r="436">
      <c r="A436" s="57"/>
      <c r="C436" s="26"/>
      <c r="E436" s="26"/>
      <c r="F436" s="57"/>
      <c r="I436" s="26"/>
    </row>
    <row r="437">
      <c r="A437" s="57"/>
      <c r="C437" s="26"/>
      <c r="E437" s="26"/>
      <c r="F437" s="57"/>
      <c r="I437" s="26"/>
    </row>
    <row r="438">
      <c r="A438" s="57"/>
      <c r="C438" s="26"/>
      <c r="E438" s="26"/>
      <c r="F438" s="57"/>
      <c r="I438" s="26"/>
    </row>
    <row r="439">
      <c r="A439" s="57"/>
      <c r="C439" s="26"/>
      <c r="E439" s="26"/>
      <c r="F439" s="57"/>
      <c r="I439" s="26"/>
    </row>
    <row r="440">
      <c r="A440" s="57"/>
      <c r="C440" s="26"/>
      <c r="E440" s="26"/>
      <c r="F440" s="57"/>
      <c r="I440" s="26"/>
    </row>
    <row r="441">
      <c r="A441" s="57"/>
      <c r="C441" s="26"/>
      <c r="E441" s="26"/>
      <c r="F441" s="57"/>
      <c r="I441" s="26"/>
    </row>
    <row r="442">
      <c r="A442" s="57"/>
      <c r="C442" s="26"/>
      <c r="E442" s="26"/>
      <c r="F442" s="57"/>
      <c r="I442" s="26"/>
    </row>
    <row r="443">
      <c r="A443" s="57"/>
      <c r="C443" s="26"/>
      <c r="E443" s="26"/>
      <c r="F443" s="57"/>
      <c r="I443" s="26"/>
    </row>
    <row r="444">
      <c r="A444" s="57"/>
      <c r="C444" s="26"/>
      <c r="E444" s="26"/>
      <c r="F444" s="57"/>
      <c r="I444" s="26"/>
    </row>
    <row r="445">
      <c r="A445" s="57"/>
      <c r="C445" s="26"/>
      <c r="E445" s="26"/>
      <c r="F445" s="57"/>
      <c r="I445" s="26"/>
    </row>
    <row r="446">
      <c r="A446" s="57"/>
      <c r="C446" s="26"/>
      <c r="E446" s="26"/>
      <c r="F446" s="57"/>
      <c r="I446" s="26"/>
    </row>
    <row r="447">
      <c r="A447" s="57"/>
      <c r="C447" s="26"/>
      <c r="E447" s="26"/>
      <c r="F447" s="57"/>
      <c r="I447" s="26"/>
    </row>
    <row r="448">
      <c r="A448" s="57"/>
      <c r="C448" s="26"/>
      <c r="E448" s="26"/>
      <c r="F448" s="57"/>
      <c r="I448" s="26"/>
    </row>
    <row r="449">
      <c r="A449" s="57"/>
      <c r="C449" s="26"/>
      <c r="E449" s="26"/>
      <c r="F449" s="57"/>
      <c r="I449" s="26"/>
    </row>
    <row r="450">
      <c r="A450" s="57"/>
      <c r="C450" s="26"/>
      <c r="E450" s="26"/>
      <c r="F450" s="57"/>
      <c r="I450" s="26"/>
    </row>
    <row r="451">
      <c r="A451" s="57"/>
      <c r="C451" s="26"/>
      <c r="E451" s="26"/>
      <c r="F451" s="57"/>
      <c r="I451" s="26"/>
    </row>
    <row r="452">
      <c r="A452" s="57"/>
      <c r="C452" s="26"/>
      <c r="E452" s="26"/>
      <c r="F452" s="57"/>
      <c r="I452" s="26"/>
    </row>
    <row r="453">
      <c r="A453" s="57"/>
      <c r="C453" s="26"/>
      <c r="E453" s="26"/>
      <c r="F453" s="57"/>
      <c r="I453" s="26"/>
    </row>
    <row r="454">
      <c r="A454" s="57"/>
      <c r="C454" s="26"/>
      <c r="E454" s="26"/>
      <c r="F454" s="57"/>
      <c r="I454" s="26"/>
    </row>
    <row r="455">
      <c r="A455" s="57"/>
      <c r="C455" s="26"/>
      <c r="E455" s="26"/>
      <c r="F455" s="57"/>
      <c r="I455" s="26"/>
    </row>
    <row r="456">
      <c r="A456" s="57"/>
      <c r="C456" s="26"/>
      <c r="E456" s="26"/>
      <c r="F456" s="57"/>
      <c r="I456" s="26"/>
    </row>
    <row r="457">
      <c r="A457" s="57"/>
      <c r="C457" s="26"/>
      <c r="E457" s="26"/>
      <c r="F457" s="57"/>
      <c r="I457" s="26"/>
    </row>
    <row r="458">
      <c r="A458" s="57"/>
      <c r="C458" s="26"/>
      <c r="E458" s="26"/>
      <c r="F458" s="57"/>
      <c r="I458" s="26"/>
    </row>
    <row r="459">
      <c r="A459" s="57"/>
      <c r="C459" s="26"/>
      <c r="E459" s="26"/>
      <c r="F459" s="57"/>
      <c r="I459" s="26"/>
    </row>
    <row r="460">
      <c r="A460" s="57"/>
      <c r="C460" s="26"/>
      <c r="E460" s="26"/>
      <c r="F460" s="57"/>
      <c r="I460" s="26"/>
    </row>
    <row r="461">
      <c r="A461" s="57"/>
      <c r="C461" s="26"/>
      <c r="E461" s="26"/>
      <c r="F461" s="57"/>
      <c r="I461" s="26"/>
    </row>
    <row r="462">
      <c r="A462" s="57"/>
      <c r="C462" s="26"/>
      <c r="E462" s="26"/>
      <c r="F462" s="57"/>
      <c r="I462" s="26"/>
    </row>
    <row r="463">
      <c r="A463" s="57"/>
      <c r="C463" s="26"/>
      <c r="E463" s="26"/>
      <c r="F463" s="57"/>
      <c r="I463" s="26"/>
    </row>
    <row r="464">
      <c r="A464" s="57"/>
      <c r="C464" s="26"/>
      <c r="E464" s="26"/>
      <c r="F464" s="57"/>
      <c r="I464" s="26"/>
    </row>
    <row r="465">
      <c r="A465" s="57"/>
      <c r="C465" s="26"/>
      <c r="E465" s="26"/>
      <c r="F465" s="57"/>
      <c r="I465" s="26"/>
    </row>
    <row r="466">
      <c r="A466" s="57"/>
      <c r="C466" s="26"/>
      <c r="E466" s="26"/>
      <c r="F466" s="57"/>
      <c r="I466" s="26"/>
    </row>
    <row r="467">
      <c r="A467" s="57"/>
      <c r="C467" s="26"/>
      <c r="E467" s="26"/>
      <c r="F467" s="57"/>
      <c r="I467" s="26"/>
    </row>
    <row r="468">
      <c r="A468" s="57"/>
      <c r="C468" s="26"/>
      <c r="E468" s="26"/>
      <c r="F468" s="57"/>
      <c r="I468" s="26"/>
    </row>
    <row r="469">
      <c r="A469" s="57"/>
      <c r="C469" s="26"/>
      <c r="E469" s="26"/>
      <c r="F469" s="57"/>
      <c r="I469" s="26"/>
    </row>
    <row r="470">
      <c r="A470" s="57"/>
      <c r="C470" s="26"/>
      <c r="E470" s="26"/>
      <c r="F470" s="57"/>
      <c r="I470" s="26"/>
    </row>
    <row r="471">
      <c r="A471" s="57"/>
      <c r="C471" s="26"/>
      <c r="E471" s="26"/>
      <c r="F471" s="57"/>
      <c r="I471" s="26"/>
    </row>
    <row r="472">
      <c r="A472" s="57"/>
      <c r="C472" s="26"/>
      <c r="E472" s="26"/>
      <c r="F472" s="57"/>
      <c r="I472" s="26"/>
    </row>
    <row r="473">
      <c r="A473" s="57"/>
      <c r="C473" s="26"/>
      <c r="E473" s="26"/>
      <c r="F473" s="57"/>
      <c r="I473" s="26"/>
    </row>
    <row r="474">
      <c r="A474" s="57"/>
      <c r="C474" s="26"/>
      <c r="E474" s="26"/>
      <c r="F474" s="57"/>
      <c r="I474" s="26"/>
    </row>
    <row r="475">
      <c r="A475" s="57"/>
      <c r="C475" s="26"/>
      <c r="E475" s="26"/>
      <c r="F475" s="57"/>
      <c r="I475" s="26"/>
    </row>
    <row r="476">
      <c r="A476" s="57"/>
      <c r="C476" s="26"/>
      <c r="E476" s="26"/>
      <c r="F476" s="57"/>
      <c r="I476" s="26"/>
    </row>
    <row r="477">
      <c r="A477" s="57"/>
      <c r="C477" s="26"/>
      <c r="E477" s="26"/>
      <c r="F477" s="57"/>
      <c r="I477" s="26"/>
    </row>
    <row r="478">
      <c r="A478" s="57"/>
      <c r="C478" s="26"/>
      <c r="E478" s="26"/>
      <c r="F478" s="57"/>
      <c r="I478" s="26"/>
    </row>
    <row r="479">
      <c r="A479" s="57"/>
      <c r="C479" s="26"/>
      <c r="E479" s="26"/>
      <c r="F479" s="57"/>
      <c r="I479" s="26"/>
    </row>
    <row r="480">
      <c r="A480" s="57"/>
      <c r="C480" s="26"/>
      <c r="E480" s="26"/>
      <c r="F480" s="57"/>
      <c r="I480" s="26"/>
    </row>
    <row r="481">
      <c r="A481" s="57"/>
      <c r="C481" s="26"/>
      <c r="E481" s="26"/>
      <c r="F481" s="57"/>
      <c r="I481" s="26"/>
    </row>
    <row r="482">
      <c r="A482" s="57"/>
      <c r="C482" s="26"/>
      <c r="E482" s="26"/>
      <c r="F482" s="57"/>
      <c r="I482" s="26"/>
    </row>
    <row r="483">
      <c r="A483" s="57"/>
      <c r="C483" s="26"/>
      <c r="E483" s="26"/>
      <c r="F483" s="57"/>
      <c r="I483" s="26"/>
    </row>
    <row r="484">
      <c r="A484" s="57"/>
      <c r="C484" s="26"/>
      <c r="E484" s="26"/>
      <c r="F484" s="57"/>
      <c r="I484" s="26"/>
    </row>
    <row r="485">
      <c r="A485" s="57"/>
      <c r="C485" s="26"/>
      <c r="E485" s="26"/>
      <c r="F485" s="57"/>
      <c r="I485" s="26"/>
    </row>
    <row r="486">
      <c r="A486" s="57"/>
      <c r="C486" s="26"/>
      <c r="E486" s="26"/>
      <c r="F486" s="57"/>
      <c r="I486" s="26"/>
    </row>
    <row r="487">
      <c r="A487" s="57"/>
      <c r="C487" s="26"/>
      <c r="E487" s="26"/>
      <c r="F487" s="57"/>
      <c r="I487" s="26"/>
    </row>
    <row r="488">
      <c r="A488" s="57"/>
      <c r="C488" s="26"/>
      <c r="E488" s="26"/>
      <c r="F488" s="57"/>
      <c r="I488" s="26"/>
    </row>
    <row r="489">
      <c r="A489" s="57"/>
      <c r="C489" s="26"/>
      <c r="E489" s="26"/>
      <c r="F489" s="57"/>
      <c r="I489" s="26"/>
    </row>
    <row r="490">
      <c r="A490" s="57"/>
      <c r="C490" s="26"/>
      <c r="E490" s="26"/>
      <c r="F490" s="57"/>
      <c r="I490" s="26"/>
    </row>
    <row r="491">
      <c r="A491" s="57"/>
      <c r="C491" s="26"/>
      <c r="E491" s="26"/>
      <c r="F491" s="57"/>
      <c r="I491" s="26"/>
    </row>
    <row r="492">
      <c r="A492" s="57"/>
      <c r="C492" s="26"/>
      <c r="E492" s="26"/>
      <c r="F492" s="57"/>
      <c r="I492" s="26"/>
    </row>
    <row r="493">
      <c r="A493" s="57"/>
      <c r="C493" s="26"/>
      <c r="E493" s="26"/>
      <c r="F493" s="57"/>
      <c r="I493" s="26"/>
    </row>
    <row r="494">
      <c r="A494" s="57"/>
      <c r="C494" s="26"/>
      <c r="E494" s="26"/>
      <c r="F494" s="57"/>
      <c r="I494" s="26"/>
    </row>
    <row r="495">
      <c r="A495" s="57"/>
      <c r="C495" s="26"/>
      <c r="E495" s="26"/>
      <c r="F495" s="57"/>
      <c r="I495" s="26"/>
    </row>
    <row r="496">
      <c r="A496" s="57"/>
      <c r="C496" s="26"/>
      <c r="E496" s="26"/>
      <c r="F496" s="57"/>
      <c r="I496" s="26"/>
    </row>
    <row r="497">
      <c r="A497" s="57"/>
      <c r="C497" s="26"/>
      <c r="E497" s="26"/>
      <c r="F497" s="57"/>
      <c r="I497" s="26"/>
    </row>
    <row r="498">
      <c r="A498" s="57"/>
      <c r="C498" s="26"/>
      <c r="E498" s="26"/>
      <c r="F498" s="57"/>
      <c r="I498" s="26"/>
    </row>
    <row r="499">
      <c r="A499" s="57"/>
      <c r="C499" s="26"/>
      <c r="E499" s="26"/>
      <c r="F499" s="57"/>
      <c r="I499" s="26"/>
    </row>
    <row r="500">
      <c r="A500" s="57"/>
      <c r="C500" s="26"/>
      <c r="E500" s="26"/>
      <c r="F500" s="57"/>
      <c r="I500" s="26"/>
    </row>
    <row r="501">
      <c r="A501" s="57"/>
      <c r="C501" s="26"/>
      <c r="E501" s="26"/>
      <c r="F501" s="57"/>
      <c r="I501" s="26"/>
    </row>
    <row r="502">
      <c r="A502" s="57"/>
      <c r="C502" s="26"/>
      <c r="E502" s="26"/>
      <c r="F502" s="57"/>
      <c r="I502" s="26"/>
    </row>
    <row r="503">
      <c r="A503" s="57"/>
      <c r="C503" s="26"/>
      <c r="E503" s="26"/>
      <c r="F503" s="57"/>
      <c r="I503" s="26"/>
    </row>
    <row r="504">
      <c r="A504" s="57"/>
      <c r="C504" s="26"/>
      <c r="E504" s="26"/>
      <c r="F504" s="57"/>
      <c r="I504" s="26"/>
    </row>
    <row r="505">
      <c r="A505" s="57"/>
      <c r="C505" s="26"/>
      <c r="E505" s="26"/>
      <c r="F505" s="57"/>
      <c r="I505" s="26"/>
    </row>
    <row r="506">
      <c r="A506" s="57"/>
      <c r="C506" s="26"/>
      <c r="E506" s="26"/>
      <c r="F506" s="57"/>
      <c r="I506" s="26"/>
    </row>
    <row r="507">
      <c r="A507" s="57"/>
      <c r="C507" s="26"/>
      <c r="E507" s="26"/>
      <c r="F507" s="57"/>
      <c r="I507" s="26"/>
    </row>
    <row r="508">
      <c r="A508" s="57"/>
      <c r="C508" s="26"/>
      <c r="E508" s="26"/>
      <c r="F508" s="57"/>
      <c r="I508" s="26"/>
    </row>
    <row r="509">
      <c r="A509" s="57"/>
      <c r="C509" s="26"/>
      <c r="E509" s="26"/>
      <c r="F509" s="57"/>
      <c r="I509" s="26"/>
    </row>
    <row r="510">
      <c r="A510" s="57"/>
      <c r="C510" s="26"/>
      <c r="E510" s="26"/>
      <c r="F510" s="57"/>
      <c r="I510" s="26"/>
    </row>
    <row r="511">
      <c r="A511" s="57"/>
      <c r="C511" s="26"/>
      <c r="E511" s="26"/>
      <c r="F511" s="57"/>
      <c r="I511" s="26"/>
    </row>
    <row r="512">
      <c r="A512" s="57"/>
      <c r="C512" s="26"/>
      <c r="E512" s="26"/>
      <c r="F512" s="57"/>
      <c r="I512" s="26"/>
    </row>
    <row r="513">
      <c r="A513" s="57"/>
      <c r="C513" s="26"/>
      <c r="E513" s="26"/>
      <c r="F513" s="57"/>
      <c r="I513" s="26"/>
    </row>
    <row r="514">
      <c r="A514" s="57"/>
      <c r="C514" s="26"/>
      <c r="E514" s="26"/>
      <c r="F514" s="57"/>
      <c r="I514" s="26"/>
    </row>
    <row r="515">
      <c r="A515" s="57"/>
      <c r="C515" s="26"/>
      <c r="E515" s="26"/>
      <c r="F515" s="57"/>
      <c r="I515" s="26"/>
    </row>
    <row r="516">
      <c r="A516" s="57"/>
      <c r="C516" s="26"/>
      <c r="E516" s="26"/>
      <c r="F516" s="57"/>
      <c r="I516" s="26"/>
    </row>
    <row r="517">
      <c r="A517" s="57"/>
      <c r="C517" s="26"/>
      <c r="E517" s="26"/>
      <c r="F517" s="57"/>
      <c r="I517" s="26"/>
    </row>
    <row r="518">
      <c r="A518" s="57"/>
      <c r="C518" s="26"/>
      <c r="E518" s="26"/>
      <c r="F518" s="57"/>
      <c r="I518" s="26"/>
    </row>
    <row r="519">
      <c r="A519" s="57"/>
      <c r="C519" s="26"/>
      <c r="E519" s="26"/>
      <c r="F519" s="57"/>
      <c r="I519" s="26"/>
    </row>
    <row r="520">
      <c r="A520" s="57"/>
      <c r="C520" s="26"/>
      <c r="E520" s="26"/>
      <c r="F520" s="57"/>
      <c r="I520" s="26"/>
    </row>
    <row r="521">
      <c r="A521" s="57"/>
      <c r="C521" s="26"/>
      <c r="E521" s="26"/>
      <c r="F521" s="57"/>
      <c r="I521" s="26"/>
    </row>
    <row r="522">
      <c r="A522" s="57"/>
      <c r="C522" s="26"/>
      <c r="E522" s="26"/>
      <c r="F522" s="57"/>
      <c r="I522" s="26"/>
    </row>
    <row r="523">
      <c r="A523" s="57"/>
      <c r="C523" s="26"/>
      <c r="E523" s="26"/>
      <c r="F523" s="57"/>
      <c r="I523" s="26"/>
    </row>
    <row r="524">
      <c r="A524" s="57"/>
      <c r="C524" s="26"/>
      <c r="E524" s="26"/>
      <c r="F524" s="57"/>
      <c r="I524" s="26"/>
    </row>
    <row r="525">
      <c r="A525" s="57"/>
      <c r="C525" s="26"/>
      <c r="E525" s="26"/>
      <c r="F525" s="57"/>
      <c r="I525" s="26"/>
    </row>
    <row r="526">
      <c r="A526" s="57"/>
      <c r="C526" s="26"/>
      <c r="E526" s="26"/>
      <c r="F526" s="57"/>
      <c r="I526" s="26"/>
    </row>
    <row r="527">
      <c r="A527" s="57"/>
      <c r="C527" s="26"/>
      <c r="E527" s="26"/>
      <c r="F527" s="57"/>
      <c r="I527" s="26"/>
    </row>
    <row r="528">
      <c r="A528" s="57"/>
      <c r="C528" s="26"/>
      <c r="E528" s="26"/>
      <c r="F528" s="57"/>
      <c r="I528" s="26"/>
    </row>
    <row r="529">
      <c r="A529" s="57"/>
      <c r="C529" s="26"/>
      <c r="E529" s="26"/>
      <c r="F529" s="57"/>
      <c r="I529" s="26"/>
    </row>
    <row r="530">
      <c r="A530" s="57"/>
      <c r="C530" s="26"/>
      <c r="E530" s="26"/>
      <c r="F530" s="57"/>
      <c r="I530" s="26"/>
    </row>
    <row r="531">
      <c r="A531" s="57"/>
      <c r="C531" s="26"/>
      <c r="E531" s="26"/>
      <c r="F531" s="57"/>
      <c r="I531" s="26"/>
    </row>
    <row r="532">
      <c r="A532" s="57"/>
      <c r="C532" s="26"/>
      <c r="E532" s="26"/>
      <c r="F532" s="57"/>
      <c r="I532" s="26"/>
    </row>
    <row r="533">
      <c r="A533" s="57"/>
      <c r="C533" s="26"/>
      <c r="E533" s="26"/>
      <c r="F533" s="57"/>
      <c r="I533" s="26"/>
    </row>
    <row r="534">
      <c r="A534" s="57"/>
      <c r="C534" s="26"/>
      <c r="E534" s="26"/>
      <c r="F534" s="57"/>
      <c r="I534" s="26"/>
    </row>
    <row r="535">
      <c r="A535" s="57"/>
      <c r="C535" s="26"/>
      <c r="E535" s="26"/>
      <c r="F535" s="57"/>
      <c r="I535" s="26"/>
    </row>
    <row r="536">
      <c r="A536" s="57"/>
      <c r="C536" s="26"/>
      <c r="E536" s="26"/>
      <c r="F536" s="57"/>
      <c r="I536" s="26"/>
    </row>
    <row r="537">
      <c r="A537" s="57"/>
      <c r="C537" s="26"/>
      <c r="E537" s="26"/>
      <c r="F537" s="57"/>
      <c r="I537" s="26"/>
    </row>
    <row r="538">
      <c r="A538" s="57"/>
      <c r="C538" s="26"/>
      <c r="E538" s="26"/>
      <c r="F538" s="57"/>
      <c r="I538" s="26"/>
    </row>
    <row r="539">
      <c r="A539" s="57"/>
      <c r="C539" s="26"/>
      <c r="E539" s="26"/>
      <c r="F539" s="57"/>
      <c r="I539" s="26"/>
    </row>
    <row r="540">
      <c r="A540" s="57"/>
      <c r="C540" s="26"/>
      <c r="E540" s="26"/>
      <c r="F540" s="57"/>
      <c r="I540" s="26"/>
    </row>
    <row r="541">
      <c r="A541" s="57"/>
      <c r="C541" s="26"/>
      <c r="E541" s="26"/>
      <c r="F541" s="57"/>
      <c r="I541" s="26"/>
    </row>
    <row r="542">
      <c r="A542" s="57"/>
      <c r="C542" s="26"/>
      <c r="E542" s="26"/>
      <c r="F542" s="57"/>
      <c r="I542" s="26"/>
    </row>
    <row r="543">
      <c r="A543" s="57"/>
      <c r="C543" s="26"/>
      <c r="E543" s="26"/>
      <c r="F543" s="57"/>
      <c r="I543" s="26"/>
    </row>
    <row r="544">
      <c r="A544" s="57"/>
      <c r="C544" s="26"/>
      <c r="E544" s="26"/>
      <c r="F544" s="57"/>
      <c r="I544" s="26"/>
    </row>
    <row r="545">
      <c r="A545" s="57"/>
      <c r="C545" s="26"/>
      <c r="E545" s="26"/>
      <c r="F545" s="57"/>
      <c r="I545" s="26"/>
    </row>
    <row r="546">
      <c r="A546" s="57"/>
      <c r="C546" s="26"/>
      <c r="E546" s="26"/>
      <c r="F546" s="57"/>
      <c r="I546" s="26"/>
    </row>
    <row r="547">
      <c r="A547" s="57"/>
      <c r="C547" s="26"/>
      <c r="E547" s="26"/>
      <c r="F547" s="57"/>
      <c r="I547" s="26"/>
    </row>
    <row r="548">
      <c r="A548" s="57"/>
      <c r="C548" s="26"/>
      <c r="E548" s="26"/>
      <c r="F548" s="57"/>
      <c r="I548" s="26"/>
    </row>
    <row r="549">
      <c r="A549" s="57"/>
      <c r="C549" s="26"/>
      <c r="E549" s="26"/>
      <c r="F549" s="57"/>
      <c r="I549" s="26"/>
    </row>
    <row r="550">
      <c r="A550" s="57"/>
      <c r="C550" s="26"/>
      <c r="E550" s="26"/>
      <c r="F550" s="57"/>
      <c r="I550" s="26"/>
    </row>
    <row r="551">
      <c r="A551" s="57"/>
      <c r="C551" s="26"/>
      <c r="E551" s="26"/>
      <c r="F551" s="57"/>
      <c r="I551" s="26"/>
    </row>
    <row r="552">
      <c r="A552" s="57"/>
      <c r="C552" s="26"/>
      <c r="E552" s="26"/>
      <c r="F552" s="57"/>
      <c r="I552" s="26"/>
    </row>
    <row r="553">
      <c r="A553" s="57"/>
      <c r="C553" s="26"/>
      <c r="E553" s="26"/>
      <c r="F553" s="57"/>
      <c r="I553" s="26"/>
    </row>
    <row r="554">
      <c r="A554" s="57"/>
      <c r="C554" s="26"/>
      <c r="E554" s="26"/>
      <c r="F554" s="57"/>
      <c r="I554" s="26"/>
    </row>
    <row r="555">
      <c r="A555" s="57"/>
      <c r="C555" s="26"/>
      <c r="E555" s="26"/>
      <c r="F555" s="57"/>
      <c r="I555" s="26"/>
    </row>
    <row r="556">
      <c r="A556" s="57"/>
      <c r="C556" s="26"/>
      <c r="E556" s="26"/>
      <c r="F556" s="57"/>
      <c r="I556" s="26"/>
    </row>
    <row r="557">
      <c r="A557" s="57"/>
      <c r="C557" s="26"/>
      <c r="E557" s="26"/>
      <c r="F557" s="57"/>
      <c r="I557" s="26"/>
    </row>
    <row r="558">
      <c r="A558" s="57"/>
      <c r="C558" s="26"/>
      <c r="E558" s="26"/>
      <c r="F558" s="57"/>
      <c r="I558" s="26"/>
    </row>
    <row r="559">
      <c r="A559" s="57"/>
      <c r="C559" s="26"/>
      <c r="E559" s="26"/>
      <c r="F559" s="57"/>
      <c r="I559" s="26"/>
    </row>
    <row r="560">
      <c r="A560" s="57"/>
      <c r="C560" s="26"/>
      <c r="E560" s="26"/>
      <c r="F560" s="57"/>
      <c r="I560" s="26"/>
    </row>
    <row r="561">
      <c r="A561" s="57"/>
      <c r="C561" s="26"/>
      <c r="E561" s="26"/>
      <c r="F561" s="57"/>
      <c r="I561" s="26"/>
    </row>
    <row r="562">
      <c r="A562" s="57"/>
      <c r="C562" s="26"/>
      <c r="E562" s="26"/>
      <c r="F562" s="57"/>
      <c r="I562" s="26"/>
    </row>
    <row r="563">
      <c r="A563" s="57"/>
      <c r="C563" s="26"/>
      <c r="E563" s="26"/>
      <c r="F563" s="57"/>
      <c r="I563" s="26"/>
    </row>
    <row r="564">
      <c r="A564" s="57"/>
      <c r="C564" s="26"/>
      <c r="E564" s="26"/>
      <c r="F564" s="57"/>
      <c r="I564" s="26"/>
    </row>
    <row r="565">
      <c r="A565" s="57"/>
      <c r="C565" s="26"/>
      <c r="E565" s="26"/>
      <c r="F565" s="57"/>
      <c r="I565" s="26"/>
    </row>
    <row r="566">
      <c r="A566" s="57"/>
      <c r="C566" s="26"/>
      <c r="E566" s="26"/>
      <c r="F566" s="57"/>
      <c r="I566" s="26"/>
    </row>
    <row r="567">
      <c r="A567" s="57"/>
      <c r="C567" s="26"/>
      <c r="E567" s="26"/>
      <c r="F567" s="57"/>
      <c r="I567" s="26"/>
    </row>
    <row r="568">
      <c r="A568" s="57"/>
      <c r="C568" s="26"/>
      <c r="E568" s="26"/>
      <c r="F568" s="57"/>
      <c r="I568" s="26"/>
    </row>
    <row r="569">
      <c r="A569" s="57"/>
      <c r="C569" s="26"/>
      <c r="E569" s="26"/>
      <c r="F569" s="57"/>
      <c r="I569" s="26"/>
    </row>
    <row r="570">
      <c r="A570" s="57"/>
      <c r="C570" s="26"/>
      <c r="E570" s="26"/>
      <c r="F570" s="57"/>
      <c r="I570" s="26"/>
    </row>
    <row r="571">
      <c r="A571" s="57"/>
      <c r="C571" s="26"/>
      <c r="E571" s="26"/>
      <c r="F571" s="57"/>
      <c r="I571" s="26"/>
    </row>
    <row r="572">
      <c r="A572" s="57"/>
      <c r="C572" s="26"/>
      <c r="E572" s="26"/>
      <c r="F572" s="57"/>
      <c r="I572" s="26"/>
    </row>
    <row r="573">
      <c r="A573" s="57"/>
      <c r="C573" s="26"/>
      <c r="E573" s="26"/>
      <c r="F573" s="57"/>
      <c r="I573" s="26"/>
    </row>
    <row r="574">
      <c r="A574" s="57"/>
      <c r="C574" s="26"/>
      <c r="E574" s="26"/>
      <c r="F574" s="57"/>
      <c r="I574" s="26"/>
    </row>
    <row r="575">
      <c r="A575" s="57"/>
      <c r="C575" s="26"/>
      <c r="E575" s="26"/>
      <c r="F575" s="57"/>
      <c r="I575" s="26"/>
    </row>
    <row r="576">
      <c r="A576" s="57"/>
      <c r="C576" s="26"/>
      <c r="E576" s="26"/>
      <c r="F576" s="57"/>
      <c r="I576" s="26"/>
    </row>
    <row r="577">
      <c r="A577" s="57"/>
      <c r="C577" s="26"/>
      <c r="E577" s="26"/>
      <c r="F577" s="57"/>
      <c r="I577" s="26"/>
    </row>
    <row r="578">
      <c r="A578" s="57"/>
      <c r="C578" s="26"/>
      <c r="E578" s="26"/>
      <c r="F578" s="57"/>
      <c r="I578" s="26"/>
    </row>
    <row r="579">
      <c r="A579" s="57"/>
      <c r="C579" s="26"/>
      <c r="E579" s="26"/>
      <c r="F579" s="57"/>
      <c r="I579" s="26"/>
    </row>
    <row r="580">
      <c r="A580" s="57"/>
      <c r="C580" s="26"/>
      <c r="E580" s="26"/>
      <c r="F580" s="57"/>
      <c r="I580" s="26"/>
    </row>
    <row r="581">
      <c r="A581" s="57"/>
      <c r="C581" s="26"/>
      <c r="E581" s="26"/>
      <c r="F581" s="57"/>
      <c r="I581" s="26"/>
    </row>
    <row r="582">
      <c r="A582" s="57"/>
      <c r="C582" s="26"/>
      <c r="E582" s="26"/>
      <c r="F582" s="57"/>
      <c r="I582" s="26"/>
    </row>
    <row r="583">
      <c r="A583" s="57"/>
      <c r="C583" s="26"/>
      <c r="E583" s="26"/>
      <c r="F583" s="57"/>
      <c r="I583" s="26"/>
    </row>
    <row r="584">
      <c r="A584" s="57"/>
      <c r="C584" s="26"/>
      <c r="E584" s="26"/>
      <c r="F584" s="57"/>
      <c r="I584" s="26"/>
    </row>
    <row r="585">
      <c r="A585" s="57"/>
      <c r="C585" s="26"/>
      <c r="E585" s="26"/>
      <c r="F585" s="57"/>
      <c r="I585" s="26"/>
    </row>
    <row r="586">
      <c r="A586" s="57"/>
      <c r="C586" s="26"/>
      <c r="E586" s="26"/>
      <c r="F586" s="57"/>
      <c r="I586" s="26"/>
    </row>
    <row r="587">
      <c r="A587" s="57"/>
      <c r="C587" s="26"/>
      <c r="E587" s="26"/>
      <c r="F587" s="57"/>
      <c r="I587" s="26"/>
    </row>
    <row r="588">
      <c r="A588" s="57"/>
      <c r="C588" s="26"/>
      <c r="E588" s="26"/>
      <c r="F588" s="57"/>
      <c r="I588" s="26"/>
    </row>
    <row r="589">
      <c r="A589" s="57"/>
      <c r="C589" s="26"/>
      <c r="E589" s="26"/>
      <c r="F589" s="57"/>
      <c r="I589" s="26"/>
    </row>
    <row r="590">
      <c r="A590" s="57"/>
      <c r="C590" s="26"/>
      <c r="E590" s="26"/>
      <c r="F590" s="57"/>
      <c r="I590" s="26"/>
    </row>
    <row r="591">
      <c r="A591" s="57"/>
      <c r="C591" s="26"/>
      <c r="E591" s="26"/>
      <c r="F591" s="57"/>
      <c r="I591" s="26"/>
    </row>
    <row r="592">
      <c r="A592" s="57"/>
      <c r="C592" s="26"/>
      <c r="E592" s="26"/>
      <c r="F592" s="57"/>
      <c r="I592" s="26"/>
    </row>
    <row r="593">
      <c r="A593" s="57"/>
      <c r="C593" s="26"/>
      <c r="E593" s="26"/>
      <c r="F593" s="57"/>
      <c r="I593" s="26"/>
    </row>
    <row r="594">
      <c r="A594" s="57"/>
      <c r="C594" s="26"/>
      <c r="E594" s="26"/>
      <c r="F594" s="57"/>
      <c r="I594" s="26"/>
    </row>
    <row r="595">
      <c r="A595" s="57"/>
      <c r="C595" s="26"/>
      <c r="E595" s="26"/>
      <c r="F595" s="57"/>
      <c r="I595" s="26"/>
    </row>
    <row r="596">
      <c r="A596" s="57"/>
      <c r="C596" s="26"/>
      <c r="E596" s="26"/>
      <c r="F596" s="57"/>
      <c r="I596" s="26"/>
    </row>
    <row r="597">
      <c r="A597" s="57"/>
      <c r="C597" s="26"/>
      <c r="E597" s="26"/>
      <c r="F597" s="57"/>
      <c r="I597" s="26"/>
    </row>
    <row r="598">
      <c r="A598" s="57"/>
      <c r="C598" s="26"/>
      <c r="E598" s="26"/>
      <c r="F598" s="57"/>
      <c r="I598" s="26"/>
    </row>
    <row r="599">
      <c r="A599" s="57"/>
      <c r="C599" s="26"/>
      <c r="E599" s="26"/>
      <c r="F599" s="57"/>
      <c r="I599" s="26"/>
    </row>
    <row r="600">
      <c r="A600" s="57"/>
      <c r="C600" s="26"/>
      <c r="E600" s="26"/>
      <c r="F600" s="57"/>
      <c r="I600" s="26"/>
    </row>
    <row r="601">
      <c r="A601" s="57"/>
      <c r="C601" s="26"/>
      <c r="E601" s="26"/>
      <c r="F601" s="57"/>
      <c r="I601" s="26"/>
    </row>
    <row r="602">
      <c r="A602" s="57"/>
      <c r="C602" s="26"/>
      <c r="E602" s="26"/>
      <c r="F602" s="57"/>
      <c r="I602" s="26"/>
    </row>
    <row r="603">
      <c r="A603" s="57"/>
      <c r="C603" s="26"/>
      <c r="E603" s="26"/>
      <c r="F603" s="57"/>
      <c r="I603" s="26"/>
    </row>
    <row r="604">
      <c r="A604" s="57"/>
      <c r="C604" s="26"/>
      <c r="E604" s="26"/>
      <c r="F604" s="57"/>
      <c r="I604" s="26"/>
    </row>
    <row r="605">
      <c r="A605" s="57"/>
      <c r="C605" s="26"/>
      <c r="E605" s="26"/>
      <c r="F605" s="57"/>
      <c r="I605" s="26"/>
    </row>
    <row r="606">
      <c r="A606" s="57"/>
      <c r="C606" s="26"/>
      <c r="E606" s="26"/>
      <c r="F606" s="57"/>
      <c r="I606" s="26"/>
    </row>
    <row r="607">
      <c r="A607" s="57"/>
      <c r="C607" s="26"/>
      <c r="E607" s="26"/>
      <c r="F607" s="57"/>
      <c r="I607" s="26"/>
    </row>
    <row r="608">
      <c r="A608" s="57"/>
      <c r="C608" s="26"/>
      <c r="E608" s="26"/>
      <c r="F608" s="57"/>
      <c r="I608" s="26"/>
    </row>
    <row r="609">
      <c r="A609" s="57"/>
      <c r="C609" s="26"/>
      <c r="E609" s="26"/>
      <c r="F609" s="57"/>
      <c r="I609" s="26"/>
    </row>
    <row r="610">
      <c r="A610" s="57"/>
      <c r="C610" s="26"/>
      <c r="E610" s="26"/>
      <c r="F610" s="57"/>
      <c r="I610" s="26"/>
    </row>
    <row r="611">
      <c r="A611" s="57"/>
      <c r="C611" s="26"/>
      <c r="E611" s="26"/>
      <c r="F611" s="57"/>
      <c r="I611" s="26"/>
    </row>
    <row r="612">
      <c r="A612" s="57"/>
      <c r="C612" s="26"/>
      <c r="E612" s="26"/>
      <c r="F612" s="57"/>
      <c r="I612" s="26"/>
    </row>
    <row r="613">
      <c r="A613" s="57"/>
      <c r="C613" s="26"/>
      <c r="E613" s="26"/>
      <c r="F613" s="57"/>
      <c r="I613" s="26"/>
    </row>
    <row r="614">
      <c r="A614" s="57"/>
      <c r="C614" s="26"/>
      <c r="E614" s="26"/>
      <c r="F614" s="57"/>
      <c r="I614" s="26"/>
    </row>
    <row r="615">
      <c r="A615" s="57"/>
      <c r="C615" s="26"/>
      <c r="E615" s="26"/>
      <c r="F615" s="57"/>
      <c r="I615" s="26"/>
    </row>
    <row r="616">
      <c r="A616" s="57"/>
      <c r="C616" s="26"/>
      <c r="E616" s="26"/>
      <c r="F616" s="57"/>
      <c r="I616" s="26"/>
    </row>
    <row r="617">
      <c r="A617" s="57"/>
      <c r="C617" s="26"/>
      <c r="E617" s="26"/>
      <c r="F617" s="57"/>
      <c r="I617" s="26"/>
    </row>
    <row r="618">
      <c r="A618" s="57"/>
      <c r="C618" s="26"/>
      <c r="E618" s="26"/>
      <c r="F618" s="57"/>
      <c r="I618" s="26"/>
    </row>
    <row r="619">
      <c r="A619" s="57"/>
      <c r="C619" s="26"/>
      <c r="E619" s="26"/>
      <c r="F619" s="57"/>
      <c r="I619" s="26"/>
    </row>
    <row r="620">
      <c r="A620" s="57"/>
      <c r="C620" s="26"/>
      <c r="E620" s="26"/>
      <c r="F620" s="57"/>
      <c r="I620" s="26"/>
    </row>
    <row r="621">
      <c r="A621" s="57"/>
      <c r="C621" s="26"/>
      <c r="E621" s="26"/>
      <c r="F621" s="57"/>
      <c r="I621" s="26"/>
    </row>
    <row r="622">
      <c r="A622" s="57"/>
      <c r="C622" s="26"/>
      <c r="E622" s="26"/>
      <c r="F622" s="57"/>
      <c r="I622" s="26"/>
    </row>
    <row r="623">
      <c r="A623" s="57"/>
      <c r="C623" s="26"/>
      <c r="E623" s="26"/>
      <c r="F623" s="57"/>
      <c r="I623" s="26"/>
    </row>
    <row r="624">
      <c r="A624" s="57"/>
      <c r="C624" s="26"/>
      <c r="E624" s="26"/>
      <c r="F624" s="57"/>
      <c r="I624" s="26"/>
    </row>
    <row r="625">
      <c r="A625" s="57"/>
      <c r="C625" s="26"/>
      <c r="E625" s="26"/>
      <c r="F625" s="57"/>
      <c r="I625" s="26"/>
    </row>
    <row r="626">
      <c r="A626" s="57"/>
      <c r="C626" s="26"/>
      <c r="E626" s="26"/>
      <c r="F626" s="57"/>
      <c r="I626" s="26"/>
    </row>
    <row r="627">
      <c r="A627" s="57"/>
      <c r="C627" s="26"/>
      <c r="E627" s="26"/>
      <c r="F627" s="57"/>
      <c r="I627" s="26"/>
    </row>
    <row r="628">
      <c r="A628" s="57"/>
      <c r="C628" s="26"/>
      <c r="E628" s="26"/>
      <c r="F628" s="57"/>
      <c r="I628" s="26"/>
    </row>
    <row r="629">
      <c r="A629" s="57"/>
      <c r="C629" s="26"/>
      <c r="E629" s="26"/>
      <c r="F629" s="57"/>
      <c r="I629" s="26"/>
    </row>
    <row r="630">
      <c r="A630" s="57"/>
      <c r="C630" s="26"/>
      <c r="E630" s="26"/>
      <c r="F630" s="57"/>
      <c r="I630" s="26"/>
    </row>
    <row r="631">
      <c r="A631" s="57"/>
      <c r="C631" s="26"/>
      <c r="E631" s="26"/>
      <c r="F631" s="57"/>
      <c r="I631" s="26"/>
    </row>
    <row r="632">
      <c r="A632" s="57"/>
      <c r="C632" s="26"/>
      <c r="E632" s="26"/>
      <c r="F632" s="57"/>
      <c r="I632" s="26"/>
    </row>
    <row r="633">
      <c r="A633" s="57"/>
      <c r="C633" s="26"/>
      <c r="E633" s="26"/>
      <c r="F633" s="57"/>
      <c r="I633" s="26"/>
    </row>
    <row r="634">
      <c r="A634" s="57"/>
      <c r="C634" s="26"/>
      <c r="E634" s="26"/>
      <c r="F634" s="57"/>
      <c r="I634" s="26"/>
    </row>
    <row r="635">
      <c r="A635" s="57"/>
      <c r="C635" s="26"/>
      <c r="E635" s="26"/>
      <c r="F635" s="57"/>
      <c r="I635" s="26"/>
    </row>
    <row r="636">
      <c r="A636" s="57"/>
      <c r="C636" s="26"/>
      <c r="E636" s="26"/>
      <c r="F636" s="57"/>
      <c r="I636" s="26"/>
    </row>
    <row r="637">
      <c r="A637" s="57"/>
      <c r="C637" s="26"/>
      <c r="E637" s="26"/>
      <c r="F637" s="57"/>
      <c r="I637" s="26"/>
    </row>
    <row r="638">
      <c r="A638" s="57"/>
      <c r="C638" s="26"/>
      <c r="E638" s="26"/>
      <c r="F638" s="57"/>
      <c r="I638" s="26"/>
    </row>
    <row r="639">
      <c r="A639" s="57"/>
      <c r="C639" s="26"/>
      <c r="E639" s="26"/>
      <c r="F639" s="57"/>
      <c r="I639" s="26"/>
    </row>
    <row r="640">
      <c r="A640" s="57"/>
      <c r="C640" s="26"/>
      <c r="E640" s="26"/>
      <c r="F640" s="57"/>
      <c r="I640" s="26"/>
    </row>
    <row r="641">
      <c r="A641" s="57"/>
      <c r="C641" s="26"/>
      <c r="E641" s="26"/>
      <c r="F641" s="57"/>
      <c r="I641" s="26"/>
    </row>
    <row r="642">
      <c r="A642" s="57"/>
      <c r="C642" s="26"/>
      <c r="E642" s="26"/>
      <c r="F642" s="57"/>
      <c r="I642" s="26"/>
    </row>
    <row r="643">
      <c r="A643" s="57"/>
      <c r="C643" s="26"/>
      <c r="E643" s="26"/>
      <c r="F643" s="57"/>
      <c r="I643" s="26"/>
    </row>
    <row r="644">
      <c r="A644" s="57"/>
      <c r="C644" s="26"/>
      <c r="E644" s="26"/>
      <c r="F644" s="57"/>
      <c r="I644" s="26"/>
    </row>
    <row r="645">
      <c r="A645" s="57"/>
      <c r="C645" s="26"/>
      <c r="E645" s="26"/>
      <c r="F645" s="57"/>
      <c r="I645" s="26"/>
    </row>
    <row r="646">
      <c r="A646" s="57"/>
      <c r="C646" s="26"/>
      <c r="E646" s="26"/>
      <c r="F646" s="57"/>
      <c r="I646" s="26"/>
    </row>
    <row r="647">
      <c r="A647" s="57"/>
      <c r="C647" s="26"/>
      <c r="E647" s="26"/>
      <c r="F647" s="57"/>
      <c r="I647" s="26"/>
    </row>
    <row r="648">
      <c r="A648" s="57"/>
      <c r="C648" s="26"/>
      <c r="E648" s="26"/>
      <c r="F648" s="57"/>
      <c r="I648" s="26"/>
    </row>
    <row r="649">
      <c r="A649" s="57"/>
      <c r="C649" s="26"/>
      <c r="E649" s="26"/>
      <c r="F649" s="57"/>
      <c r="I649" s="26"/>
    </row>
    <row r="650">
      <c r="A650" s="57"/>
      <c r="C650" s="26"/>
      <c r="E650" s="26"/>
      <c r="F650" s="57"/>
      <c r="I650" s="26"/>
    </row>
    <row r="651">
      <c r="A651" s="57"/>
      <c r="C651" s="26"/>
      <c r="E651" s="26"/>
      <c r="F651" s="57"/>
      <c r="I651" s="26"/>
    </row>
    <row r="652">
      <c r="A652" s="57"/>
      <c r="C652" s="26"/>
      <c r="E652" s="26"/>
      <c r="F652" s="57"/>
      <c r="I652" s="26"/>
    </row>
    <row r="653">
      <c r="A653" s="57"/>
      <c r="C653" s="26"/>
      <c r="E653" s="26"/>
      <c r="F653" s="57"/>
      <c r="I653" s="26"/>
    </row>
    <row r="654">
      <c r="A654" s="57"/>
      <c r="C654" s="26"/>
      <c r="E654" s="26"/>
      <c r="F654" s="57"/>
      <c r="I654" s="26"/>
    </row>
    <row r="655">
      <c r="A655" s="57"/>
      <c r="C655" s="26"/>
      <c r="E655" s="26"/>
      <c r="F655" s="57"/>
      <c r="I655" s="26"/>
    </row>
    <row r="656">
      <c r="A656" s="57"/>
      <c r="C656" s="26"/>
      <c r="E656" s="26"/>
      <c r="F656" s="57"/>
      <c r="I656" s="26"/>
    </row>
    <row r="657">
      <c r="A657" s="57"/>
      <c r="C657" s="26"/>
      <c r="E657" s="26"/>
      <c r="F657" s="57"/>
      <c r="I657" s="26"/>
    </row>
    <row r="658">
      <c r="A658" s="57"/>
      <c r="C658" s="26"/>
      <c r="E658" s="26"/>
      <c r="F658" s="57"/>
      <c r="I658" s="26"/>
    </row>
    <row r="659">
      <c r="A659" s="57"/>
      <c r="C659" s="26"/>
      <c r="E659" s="26"/>
      <c r="F659" s="57"/>
      <c r="I659" s="26"/>
    </row>
    <row r="660">
      <c r="A660" s="57"/>
      <c r="C660" s="26"/>
      <c r="E660" s="26"/>
      <c r="F660" s="57"/>
      <c r="I660" s="26"/>
    </row>
    <row r="661">
      <c r="A661" s="57"/>
      <c r="C661" s="26"/>
      <c r="E661" s="26"/>
      <c r="F661" s="57"/>
      <c r="I661" s="26"/>
    </row>
    <row r="662">
      <c r="A662" s="57"/>
      <c r="C662" s="26"/>
      <c r="E662" s="26"/>
      <c r="F662" s="57"/>
      <c r="I662" s="26"/>
    </row>
    <row r="663">
      <c r="A663" s="57"/>
      <c r="C663" s="26"/>
      <c r="E663" s="26"/>
      <c r="F663" s="57"/>
      <c r="I663" s="26"/>
    </row>
    <row r="664">
      <c r="A664" s="57"/>
      <c r="C664" s="26"/>
      <c r="E664" s="26"/>
      <c r="F664" s="57"/>
      <c r="I664" s="26"/>
    </row>
    <row r="665">
      <c r="A665" s="57"/>
      <c r="C665" s="26"/>
      <c r="E665" s="26"/>
      <c r="F665" s="57"/>
      <c r="I665" s="26"/>
    </row>
    <row r="666">
      <c r="A666" s="57"/>
      <c r="C666" s="26"/>
      <c r="E666" s="26"/>
      <c r="F666" s="57"/>
      <c r="I666" s="26"/>
    </row>
    <row r="667">
      <c r="A667" s="57"/>
      <c r="C667" s="26"/>
      <c r="E667" s="26"/>
      <c r="F667" s="57"/>
      <c r="I667" s="26"/>
    </row>
    <row r="668">
      <c r="A668" s="57"/>
      <c r="C668" s="26"/>
      <c r="E668" s="26"/>
      <c r="F668" s="57"/>
      <c r="I668" s="26"/>
    </row>
    <row r="669">
      <c r="A669" s="57"/>
      <c r="C669" s="26"/>
      <c r="E669" s="26"/>
      <c r="F669" s="57"/>
      <c r="I669" s="26"/>
    </row>
    <row r="670">
      <c r="A670" s="57"/>
      <c r="C670" s="26"/>
      <c r="E670" s="26"/>
      <c r="F670" s="57"/>
      <c r="I670" s="26"/>
    </row>
    <row r="671">
      <c r="A671" s="57"/>
      <c r="C671" s="26"/>
      <c r="E671" s="26"/>
      <c r="F671" s="57"/>
      <c r="I671" s="26"/>
    </row>
    <row r="672">
      <c r="A672" s="57"/>
      <c r="C672" s="26"/>
      <c r="E672" s="26"/>
      <c r="F672" s="57"/>
      <c r="I672" s="26"/>
    </row>
    <row r="673">
      <c r="A673" s="57"/>
      <c r="C673" s="26"/>
      <c r="E673" s="26"/>
      <c r="F673" s="57"/>
      <c r="I673" s="26"/>
    </row>
    <row r="674">
      <c r="A674" s="57"/>
      <c r="C674" s="26"/>
      <c r="E674" s="26"/>
      <c r="F674" s="57"/>
      <c r="I674" s="26"/>
    </row>
    <row r="675">
      <c r="A675" s="57"/>
      <c r="C675" s="26"/>
      <c r="E675" s="26"/>
      <c r="F675" s="57"/>
      <c r="I675" s="26"/>
    </row>
    <row r="676">
      <c r="A676" s="57"/>
      <c r="C676" s="26"/>
      <c r="E676" s="26"/>
      <c r="F676" s="57"/>
      <c r="I676" s="26"/>
    </row>
    <row r="677">
      <c r="A677" s="57"/>
      <c r="C677" s="26"/>
      <c r="E677" s="26"/>
      <c r="F677" s="57"/>
      <c r="I677" s="26"/>
    </row>
    <row r="678">
      <c r="A678" s="57"/>
      <c r="C678" s="26"/>
      <c r="E678" s="26"/>
      <c r="F678" s="57"/>
      <c r="I678" s="26"/>
    </row>
    <row r="679">
      <c r="A679" s="57"/>
      <c r="C679" s="26"/>
      <c r="E679" s="26"/>
      <c r="F679" s="57"/>
      <c r="I679" s="26"/>
    </row>
    <row r="680">
      <c r="A680" s="57"/>
      <c r="C680" s="26"/>
      <c r="E680" s="26"/>
      <c r="F680" s="57"/>
      <c r="I680" s="26"/>
    </row>
    <row r="681">
      <c r="A681" s="57"/>
      <c r="C681" s="26"/>
      <c r="E681" s="26"/>
      <c r="F681" s="57"/>
      <c r="I681" s="26"/>
    </row>
    <row r="682">
      <c r="A682" s="57"/>
      <c r="C682" s="26"/>
      <c r="E682" s="26"/>
      <c r="F682" s="57"/>
      <c r="I682" s="26"/>
    </row>
    <row r="683">
      <c r="A683" s="57"/>
      <c r="C683" s="26"/>
      <c r="E683" s="26"/>
      <c r="F683" s="57"/>
      <c r="I683" s="26"/>
    </row>
    <row r="684">
      <c r="A684" s="57"/>
      <c r="C684" s="26"/>
      <c r="E684" s="26"/>
      <c r="F684" s="57"/>
      <c r="I684" s="26"/>
    </row>
    <row r="685">
      <c r="A685" s="57"/>
      <c r="C685" s="26"/>
      <c r="E685" s="26"/>
      <c r="F685" s="57"/>
      <c r="I685" s="26"/>
    </row>
    <row r="686">
      <c r="A686" s="57"/>
      <c r="C686" s="26"/>
      <c r="E686" s="26"/>
      <c r="F686" s="57"/>
      <c r="I686" s="26"/>
    </row>
    <row r="687">
      <c r="A687" s="57"/>
      <c r="C687" s="26"/>
      <c r="E687" s="26"/>
      <c r="F687" s="57"/>
      <c r="I687" s="26"/>
    </row>
    <row r="688">
      <c r="A688" s="57"/>
      <c r="C688" s="26"/>
      <c r="E688" s="26"/>
      <c r="F688" s="57"/>
      <c r="I688" s="26"/>
    </row>
    <row r="689">
      <c r="A689" s="57"/>
      <c r="C689" s="26"/>
      <c r="E689" s="26"/>
      <c r="F689" s="57"/>
      <c r="I689" s="26"/>
    </row>
    <row r="690">
      <c r="A690" s="57"/>
      <c r="C690" s="26"/>
      <c r="E690" s="26"/>
      <c r="F690" s="57"/>
      <c r="I690" s="26"/>
    </row>
    <row r="691">
      <c r="A691" s="57"/>
      <c r="C691" s="26"/>
      <c r="E691" s="26"/>
      <c r="F691" s="57"/>
      <c r="I691" s="26"/>
    </row>
    <row r="692">
      <c r="A692" s="57"/>
      <c r="C692" s="26"/>
      <c r="E692" s="26"/>
      <c r="F692" s="57"/>
      <c r="I692" s="26"/>
    </row>
    <row r="693">
      <c r="A693" s="57"/>
      <c r="C693" s="26"/>
      <c r="E693" s="26"/>
      <c r="F693" s="57"/>
      <c r="I693" s="26"/>
    </row>
    <row r="694">
      <c r="A694" s="57"/>
      <c r="C694" s="26"/>
      <c r="E694" s="26"/>
      <c r="F694" s="57"/>
      <c r="I694" s="26"/>
    </row>
    <row r="695">
      <c r="A695" s="57"/>
      <c r="C695" s="26"/>
      <c r="E695" s="26"/>
      <c r="F695" s="57"/>
      <c r="I695" s="26"/>
    </row>
    <row r="696">
      <c r="A696" s="57"/>
      <c r="C696" s="26"/>
      <c r="E696" s="26"/>
      <c r="F696" s="57"/>
      <c r="I696" s="26"/>
    </row>
    <row r="697">
      <c r="A697" s="57"/>
      <c r="C697" s="26"/>
      <c r="E697" s="26"/>
      <c r="F697" s="57"/>
      <c r="I697" s="26"/>
    </row>
    <row r="698">
      <c r="A698" s="57"/>
      <c r="C698" s="26"/>
      <c r="E698" s="26"/>
      <c r="F698" s="57"/>
      <c r="I698" s="26"/>
    </row>
    <row r="699">
      <c r="A699" s="57"/>
      <c r="C699" s="26"/>
      <c r="E699" s="26"/>
      <c r="F699" s="57"/>
      <c r="I699" s="26"/>
    </row>
    <row r="700">
      <c r="A700" s="57"/>
      <c r="C700" s="26"/>
      <c r="E700" s="26"/>
      <c r="F700" s="57"/>
      <c r="I700" s="26"/>
    </row>
    <row r="701">
      <c r="A701" s="57"/>
      <c r="C701" s="26"/>
      <c r="E701" s="26"/>
      <c r="F701" s="57"/>
      <c r="I701" s="26"/>
    </row>
    <row r="702">
      <c r="A702" s="57"/>
      <c r="C702" s="26"/>
      <c r="E702" s="26"/>
      <c r="F702" s="57"/>
      <c r="I702" s="26"/>
    </row>
    <row r="703">
      <c r="A703" s="57"/>
      <c r="C703" s="26"/>
      <c r="E703" s="26"/>
      <c r="F703" s="57"/>
      <c r="I703" s="26"/>
    </row>
    <row r="704">
      <c r="A704" s="57"/>
      <c r="C704" s="26"/>
      <c r="E704" s="26"/>
      <c r="F704" s="57"/>
      <c r="I704" s="26"/>
    </row>
    <row r="705">
      <c r="A705" s="57"/>
      <c r="C705" s="26"/>
      <c r="E705" s="26"/>
      <c r="F705" s="57"/>
      <c r="I705" s="26"/>
    </row>
    <row r="706">
      <c r="A706" s="57"/>
      <c r="C706" s="26"/>
      <c r="E706" s="26"/>
      <c r="F706" s="57"/>
      <c r="I706" s="26"/>
    </row>
    <row r="707">
      <c r="A707" s="57"/>
      <c r="C707" s="26"/>
      <c r="E707" s="26"/>
      <c r="F707" s="57"/>
      <c r="I707" s="26"/>
    </row>
    <row r="708">
      <c r="A708" s="57"/>
      <c r="C708" s="26"/>
      <c r="E708" s="26"/>
      <c r="F708" s="57"/>
      <c r="I708" s="26"/>
    </row>
    <row r="709">
      <c r="A709" s="57"/>
      <c r="C709" s="26"/>
      <c r="E709" s="26"/>
      <c r="F709" s="57"/>
      <c r="I709" s="26"/>
    </row>
    <row r="710">
      <c r="A710" s="57"/>
      <c r="C710" s="26"/>
      <c r="E710" s="26"/>
      <c r="F710" s="57"/>
      <c r="I710" s="26"/>
    </row>
    <row r="711">
      <c r="A711" s="57"/>
      <c r="C711" s="26"/>
      <c r="E711" s="26"/>
      <c r="F711" s="57"/>
      <c r="I711" s="26"/>
    </row>
    <row r="712">
      <c r="A712" s="57"/>
      <c r="C712" s="26"/>
      <c r="E712" s="26"/>
      <c r="F712" s="57"/>
      <c r="I712" s="26"/>
    </row>
    <row r="713">
      <c r="A713" s="57"/>
      <c r="C713" s="26"/>
      <c r="E713" s="26"/>
      <c r="F713" s="57"/>
      <c r="I713" s="26"/>
    </row>
    <row r="714">
      <c r="A714" s="57"/>
      <c r="C714" s="26"/>
      <c r="E714" s="26"/>
      <c r="F714" s="57"/>
      <c r="I714" s="26"/>
    </row>
    <row r="715">
      <c r="A715" s="57"/>
      <c r="C715" s="26"/>
      <c r="E715" s="26"/>
      <c r="F715" s="57"/>
      <c r="I715" s="26"/>
    </row>
    <row r="716">
      <c r="A716" s="57"/>
      <c r="C716" s="26"/>
      <c r="E716" s="26"/>
      <c r="F716" s="57"/>
      <c r="I716" s="26"/>
    </row>
    <row r="717">
      <c r="A717" s="57"/>
      <c r="C717" s="26"/>
      <c r="E717" s="26"/>
      <c r="F717" s="57"/>
      <c r="I717" s="26"/>
    </row>
    <row r="718">
      <c r="A718" s="57"/>
      <c r="C718" s="26"/>
      <c r="E718" s="26"/>
      <c r="F718" s="57"/>
      <c r="I718" s="26"/>
    </row>
    <row r="719">
      <c r="A719" s="57"/>
      <c r="C719" s="26"/>
      <c r="E719" s="26"/>
      <c r="F719" s="57"/>
      <c r="I719" s="26"/>
    </row>
    <row r="720">
      <c r="A720" s="57"/>
      <c r="C720" s="26"/>
      <c r="E720" s="26"/>
      <c r="F720" s="57"/>
      <c r="I720" s="26"/>
    </row>
    <row r="721">
      <c r="A721" s="57"/>
      <c r="C721" s="26"/>
      <c r="E721" s="26"/>
      <c r="F721" s="57"/>
      <c r="I721" s="26"/>
    </row>
    <row r="722">
      <c r="A722" s="57"/>
      <c r="C722" s="26"/>
      <c r="E722" s="26"/>
      <c r="F722" s="57"/>
      <c r="I722" s="26"/>
    </row>
    <row r="723">
      <c r="A723" s="57"/>
      <c r="C723" s="26"/>
      <c r="E723" s="26"/>
      <c r="F723" s="57"/>
      <c r="I723" s="26"/>
    </row>
    <row r="724">
      <c r="A724" s="57"/>
      <c r="C724" s="26"/>
      <c r="E724" s="26"/>
      <c r="F724" s="57"/>
      <c r="I724" s="26"/>
    </row>
    <row r="725">
      <c r="A725" s="57"/>
      <c r="C725" s="26"/>
      <c r="E725" s="26"/>
      <c r="F725" s="57"/>
      <c r="I725" s="26"/>
    </row>
    <row r="726">
      <c r="A726" s="57"/>
      <c r="C726" s="26"/>
      <c r="E726" s="26"/>
      <c r="F726" s="57"/>
      <c r="I726" s="26"/>
    </row>
    <row r="727">
      <c r="A727" s="57"/>
      <c r="C727" s="26"/>
      <c r="E727" s="26"/>
      <c r="F727" s="57"/>
      <c r="I727" s="26"/>
    </row>
    <row r="728">
      <c r="A728" s="57"/>
      <c r="C728" s="26"/>
      <c r="E728" s="26"/>
      <c r="F728" s="57"/>
      <c r="I728" s="26"/>
    </row>
    <row r="729">
      <c r="A729" s="57"/>
      <c r="C729" s="26"/>
      <c r="E729" s="26"/>
      <c r="F729" s="57"/>
      <c r="I729" s="26"/>
    </row>
    <row r="730">
      <c r="A730" s="57"/>
      <c r="C730" s="26"/>
      <c r="E730" s="26"/>
      <c r="F730" s="57"/>
      <c r="I730" s="26"/>
    </row>
    <row r="731">
      <c r="A731" s="57"/>
      <c r="C731" s="26"/>
      <c r="E731" s="26"/>
      <c r="F731" s="57"/>
      <c r="I731" s="26"/>
    </row>
    <row r="732">
      <c r="A732" s="57"/>
      <c r="C732" s="26"/>
      <c r="E732" s="26"/>
      <c r="F732" s="57"/>
      <c r="I732" s="26"/>
    </row>
    <row r="733">
      <c r="A733" s="57"/>
      <c r="C733" s="26"/>
      <c r="E733" s="26"/>
      <c r="F733" s="57"/>
      <c r="I733" s="26"/>
    </row>
    <row r="734">
      <c r="A734" s="57"/>
      <c r="C734" s="26"/>
      <c r="E734" s="26"/>
      <c r="F734" s="57"/>
      <c r="I734" s="26"/>
    </row>
    <row r="735">
      <c r="A735" s="57"/>
      <c r="C735" s="26"/>
      <c r="E735" s="26"/>
      <c r="F735" s="57"/>
      <c r="I735" s="26"/>
    </row>
    <row r="736">
      <c r="A736" s="57"/>
      <c r="C736" s="26"/>
      <c r="E736" s="26"/>
      <c r="F736" s="57"/>
      <c r="I736" s="26"/>
    </row>
    <row r="737">
      <c r="A737" s="57"/>
      <c r="C737" s="26"/>
      <c r="E737" s="26"/>
      <c r="F737" s="57"/>
      <c r="I737" s="26"/>
    </row>
    <row r="738">
      <c r="A738" s="57"/>
      <c r="C738" s="26"/>
      <c r="E738" s="26"/>
      <c r="F738" s="57"/>
      <c r="I738" s="26"/>
    </row>
    <row r="739">
      <c r="A739" s="57"/>
      <c r="C739" s="26"/>
      <c r="E739" s="26"/>
      <c r="F739" s="57"/>
      <c r="I739" s="26"/>
    </row>
    <row r="740">
      <c r="A740" s="57"/>
      <c r="C740" s="26"/>
      <c r="E740" s="26"/>
      <c r="F740" s="57"/>
      <c r="I740" s="26"/>
    </row>
    <row r="741">
      <c r="A741" s="57"/>
      <c r="C741" s="26"/>
      <c r="E741" s="26"/>
      <c r="F741" s="57"/>
      <c r="I741" s="26"/>
    </row>
    <row r="742">
      <c r="A742" s="57"/>
      <c r="C742" s="26"/>
      <c r="E742" s="26"/>
      <c r="F742" s="57"/>
      <c r="I742" s="26"/>
    </row>
    <row r="743">
      <c r="A743" s="57"/>
      <c r="C743" s="26"/>
      <c r="E743" s="26"/>
      <c r="F743" s="57"/>
      <c r="I743" s="26"/>
    </row>
    <row r="744">
      <c r="A744" s="57"/>
      <c r="C744" s="26"/>
      <c r="E744" s="26"/>
      <c r="F744" s="57"/>
      <c r="I744" s="26"/>
    </row>
    <row r="745">
      <c r="A745" s="57"/>
      <c r="C745" s="26"/>
      <c r="E745" s="26"/>
      <c r="F745" s="57"/>
      <c r="I745" s="26"/>
    </row>
    <row r="746">
      <c r="A746" s="57"/>
      <c r="C746" s="26"/>
      <c r="E746" s="26"/>
      <c r="F746" s="57"/>
      <c r="I746" s="26"/>
    </row>
    <row r="747">
      <c r="A747" s="57"/>
      <c r="C747" s="26"/>
      <c r="E747" s="26"/>
      <c r="F747" s="57"/>
      <c r="I747" s="26"/>
    </row>
    <row r="748">
      <c r="A748" s="57"/>
      <c r="C748" s="26"/>
      <c r="E748" s="26"/>
      <c r="F748" s="57"/>
      <c r="I748" s="26"/>
    </row>
    <row r="749">
      <c r="A749" s="57"/>
      <c r="C749" s="26"/>
      <c r="E749" s="26"/>
      <c r="F749" s="57"/>
      <c r="I749" s="26"/>
    </row>
    <row r="750">
      <c r="A750" s="57"/>
      <c r="C750" s="26"/>
      <c r="E750" s="26"/>
      <c r="F750" s="57"/>
      <c r="I750" s="26"/>
    </row>
    <row r="751">
      <c r="A751" s="57"/>
      <c r="C751" s="26"/>
      <c r="E751" s="26"/>
      <c r="F751" s="57"/>
      <c r="I751" s="26"/>
    </row>
    <row r="752">
      <c r="A752" s="57"/>
      <c r="C752" s="26"/>
      <c r="E752" s="26"/>
      <c r="F752" s="57"/>
      <c r="I752" s="26"/>
    </row>
    <row r="753">
      <c r="A753" s="57"/>
      <c r="C753" s="26"/>
      <c r="E753" s="26"/>
      <c r="F753" s="57"/>
      <c r="I753" s="26"/>
    </row>
    <row r="754">
      <c r="A754" s="57"/>
      <c r="C754" s="26"/>
      <c r="E754" s="26"/>
      <c r="F754" s="57"/>
      <c r="I754" s="26"/>
    </row>
    <row r="755">
      <c r="A755" s="57"/>
      <c r="C755" s="26"/>
      <c r="E755" s="26"/>
      <c r="F755" s="57"/>
      <c r="I755" s="26"/>
    </row>
    <row r="756">
      <c r="A756" s="57"/>
      <c r="C756" s="26"/>
      <c r="E756" s="26"/>
      <c r="F756" s="57"/>
      <c r="I756" s="26"/>
    </row>
    <row r="757">
      <c r="A757" s="57"/>
      <c r="C757" s="26"/>
      <c r="E757" s="26"/>
      <c r="F757" s="57"/>
      <c r="I757" s="26"/>
    </row>
    <row r="758">
      <c r="A758" s="57"/>
      <c r="C758" s="26"/>
      <c r="E758" s="26"/>
      <c r="F758" s="57"/>
      <c r="I758" s="26"/>
    </row>
    <row r="759">
      <c r="A759" s="57"/>
      <c r="C759" s="26"/>
      <c r="E759" s="26"/>
      <c r="F759" s="57"/>
      <c r="I759" s="26"/>
    </row>
    <row r="760">
      <c r="A760" s="57"/>
      <c r="C760" s="26"/>
      <c r="E760" s="26"/>
      <c r="F760" s="57"/>
      <c r="I760" s="26"/>
    </row>
    <row r="761">
      <c r="A761" s="57"/>
      <c r="C761" s="26"/>
      <c r="E761" s="26"/>
      <c r="F761" s="57"/>
      <c r="I761" s="26"/>
    </row>
    <row r="762">
      <c r="A762" s="57"/>
      <c r="C762" s="26"/>
      <c r="E762" s="26"/>
      <c r="F762" s="57"/>
      <c r="I762" s="26"/>
    </row>
    <row r="763">
      <c r="A763" s="57"/>
      <c r="C763" s="26"/>
      <c r="E763" s="26"/>
      <c r="F763" s="57"/>
      <c r="I763" s="26"/>
    </row>
    <row r="764">
      <c r="A764" s="57"/>
      <c r="C764" s="26"/>
      <c r="E764" s="26"/>
      <c r="F764" s="57"/>
      <c r="I764" s="26"/>
    </row>
    <row r="765">
      <c r="A765" s="57"/>
      <c r="C765" s="26"/>
      <c r="E765" s="26"/>
      <c r="F765" s="57"/>
      <c r="I765" s="26"/>
    </row>
    <row r="766">
      <c r="A766" s="57"/>
      <c r="C766" s="26"/>
      <c r="E766" s="26"/>
      <c r="F766" s="57"/>
      <c r="I766" s="26"/>
    </row>
    <row r="767">
      <c r="A767" s="57"/>
      <c r="C767" s="26"/>
      <c r="E767" s="26"/>
      <c r="F767" s="57"/>
      <c r="I767" s="26"/>
    </row>
    <row r="768">
      <c r="A768" s="57"/>
      <c r="C768" s="26"/>
      <c r="E768" s="26"/>
      <c r="F768" s="57"/>
      <c r="I768" s="26"/>
    </row>
    <row r="769">
      <c r="A769" s="57"/>
      <c r="C769" s="26"/>
      <c r="E769" s="26"/>
      <c r="F769" s="57"/>
      <c r="I769" s="26"/>
    </row>
    <row r="770">
      <c r="A770" s="57"/>
      <c r="C770" s="26"/>
      <c r="E770" s="26"/>
      <c r="F770" s="57"/>
      <c r="I770" s="26"/>
    </row>
    <row r="771">
      <c r="A771" s="57"/>
      <c r="C771" s="26"/>
      <c r="E771" s="26"/>
      <c r="F771" s="57"/>
      <c r="I771" s="26"/>
    </row>
    <row r="772">
      <c r="A772" s="57"/>
      <c r="C772" s="26"/>
      <c r="E772" s="26"/>
      <c r="F772" s="57"/>
      <c r="I772" s="26"/>
    </row>
    <row r="773">
      <c r="A773" s="57"/>
      <c r="C773" s="26"/>
      <c r="E773" s="26"/>
      <c r="F773" s="57"/>
      <c r="I773" s="26"/>
    </row>
    <row r="774">
      <c r="A774" s="57"/>
      <c r="C774" s="26"/>
      <c r="E774" s="26"/>
      <c r="F774" s="57"/>
      <c r="I774" s="26"/>
    </row>
    <row r="775">
      <c r="A775" s="57"/>
      <c r="C775" s="26"/>
      <c r="E775" s="26"/>
      <c r="F775" s="57"/>
      <c r="I775" s="26"/>
    </row>
    <row r="776">
      <c r="A776" s="57"/>
      <c r="C776" s="26"/>
      <c r="E776" s="26"/>
      <c r="F776" s="57"/>
      <c r="I776" s="26"/>
    </row>
    <row r="777">
      <c r="A777" s="57"/>
      <c r="C777" s="26"/>
      <c r="E777" s="26"/>
      <c r="F777" s="57"/>
      <c r="I777" s="26"/>
    </row>
    <row r="778">
      <c r="A778" s="57"/>
      <c r="C778" s="26"/>
      <c r="E778" s="26"/>
      <c r="F778" s="57"/>
      <c r="I778" s="26"/>
    </row>
    <row r="779">
      <c r="A779" s="57"/>
      <c r="C779" s="26"/>
      <c r="E779" s="26"/>
      <c r="F779" s="57"/>
      <c r="I779" s="26"/>
    </row>
    <row r="780">
      <c r="A780" s="57"/>
      <c r="C780" s="26"/>
      <c r="E780" s="26"/>
      <c r="F780" s="57"/>
      <c r="I780" s="26"/>
    </row>
    <row r="781">
      <c r="A781" s="57"/>
      <c r="C781" s="26"/>
      <c r="E781" s="26"/>
      <c r="F781" s="57"/>
      <c r="I781" s="26"/>
    </row>
    <row r="782">
      <c r="A782" s="57"/>
      <c r="C782" s="26"/>
      <c r="E782" s="26"/>
      <c r="F782" s="57"/>
      <c r="I782" s="26"/>
    </row>
    <row r="783">
      <c r="A783" s="57"/>
      <c r="C783" s="26"/>
      <c r="E783" s="26"/>
      <c r="F783" s="57"/>
      <c r="I783" s="26"/>
    </row>
    <row r="784">
      <c r="A784" s="57"/>
      <c r="C784" s="26"/>
      <c r="E784" s="26"/>
      <c r="F784" s="57"/>
      <c r="I784" s="26"/>
    </row>
    <row r="785">
      <c r="A785" s="57"/>
      <c r="C785" s="26"/>
      <c r="E785" s="26"/>
      <c r="F785" s="57"/>
      <c r="I785" s="26"/>
    </row>
    <row r="786">
      <c r="A786" s="57"/>
      <c r="C786" s="26"/>
      <c r="E786" s="26"/>
      <c r="F786" s="57"/>
      <c r="I786" s="26"/>
    </row>
    <row r="787">
      <c r="A787" s="57"/>
      <c r="C787" s="26"/>
      <c r="E787" s="26"/>
      <c r="F787" s="57"/>
      <c r="I787" s="26"/>
    </row>
    <row r="788">
      <c r="A788" s="57"/>
      <c r="C788" s="26"/>
      <c r="E788" s="26"/>
      <c r="F788" s="57"/>
      <c r="I788" s="26"/>
    </row>
    <row r="789">
      <c r="A789" s="57"/>
      <c r="C789" s="26"/>
      <c r="E789" s="26"/>
      <c r="F789" s="57"/>
      <c r="I789" s="26"/>
    </row>
    <row r="790">
      <c r="A790" s="57"/>
      <c r="C790" s="26"/>
      <c r="E790" s="26"/>
      <c r="F790" s="57"/>
      <c r="I790" s="26"/>
    </row>
    <row r="791">
      <c r="A791" s="57"/>
      <c r="C791" s="26"/>
      <c r="E791" s="26"/>
      <c r="F791" s="57"/>
      <c r="I791" s="26"/>
    </row>
    <row r="792">
      <c r="A792" s="57"/>
      <c r="C792" s="26"/>
      <c r="E792" s="26"/>
      <c r="F792" s="57"/>
      <c r="I792" s="26"/>
    </row>
    <row r="793">
      <c r="A793" s="57"/>
      <c r="C793" s="26"/>
      <c r="E793" s="26"/>
      <c r="F793" s="57"/>
      <c r="I793" s="26"/>
    </row>
    <row r="794">
      <c r="A794" s="57"/>
      <c r="C794" s="26"/>
      <c r="E794" s="26"/>
      <c r="F794" s="57"/>
      <c r="I794" s="26"/>
    </row>
    <row r="795">
      <c r="A795" s="57"/>
      <c r="C795" s="26"/>
      <c r="E795" s="26"/>
      <c r="F795" s="57"/>
      <c r="I795" s="26"/>
    </row>
    <row r="796">
      <c r="A796" s="57"/>
      <c r="C796" s="26"/>
      <c r="E796" s="26"/>
      <c r="F796" s="57"/>
      <c r="I796" s="26"/>
    </row>
    <row r="797">
      <c r="A797" s="57"/>
      <c r="C797" s="26"/>
      <c r="E797" s="26"/>
      <c r="F797" s="57"/>
      <c r="I797" s="26"/>
    </row>
    <row r="798">
      <c r="A798" s="57"/>
      <c r="C798" s="26"/>
      <c r="E798" s="26"/>
      <c r="F798" s="57"/>
      <c r="I798" s="26"/>
    </row>
    <row r="799">
      <c r="A799" s="57"/>
      <c r="C799" s="26"/>
      <c r="E799" s="26"/>
      <c r="F799" s="57"/>
      <c r="I799" s="26"/>
    </row>
    <row r="800">
      <c r="A800" s="57"/>
      <c r="C800" s="26"/>
      <c r="E800" s="26"/>
      <c r="F800" s="57"/>
      <c r="I800" s="26"/>
    </row>
    <row r="801">
      <c r="A801" s="57"/>
      <c r="C801" s="26"/>
      <c r="E801" s="26"/>
      <c r="F801" s="57"/>
      <c r="I801" s="26"/>
    </row>
    <row r="802">
      <c r="A802" s="57"/>
      <c r="C802" s="26"/>
      <c r="E802" s="26"/>
      <c r="F802" s="57"/>
      <c r="I802" s="26"/>
    </row>
    <row r="803">
      <c r="A803" s="57"/>
      <c r="C803" s="26"/>
      <c r="E803" s="26"/>
      <c r="F803" s="57"/>
      <c r="I803" s="26"/>
    </row>
    <row r="804">
      <c r="A804" s="57"/>
      <c r="C804" s="26"/>
      <c r="E804" s="26"/>
      <c r="F804" s="57"/>
      <c r="I804" s="26"/>
    </row>
    <row r="805">
      <c r="A805" s="57"/>
      <c r="C805" s="26"/>
      <c r="E805" s="26"/>
      <c r="F805" s="57"/>
      <c r="I805" s="26"/>
    </row>
    <row r="806">
      <c r="A806" s="57"/>
      <c r="C806" s="26"/>
      <c r="E806" s="26"/>
      <c r="F806" s="57"/>
      <c r="I806" s="26"/>
    </row>
    <row r="807">
      <c r="A807" s="57"/>
      <c r="C807" s="26"/>
      <c r="E807" s="26"/>
      <c r="F807" s="57"/>
      <c r="I807" s="26"/>
    </row>
    <row r="808">
      <c r="A808" s="57"/>
      <c r="C808" s="26"/>
      <c r="E808" s="26"/>
      <c r="F808" s="57"/>
      <c r="I808" s="26"/>
    </row>
    <row r="809">
      <c r="A809" s="57"/>
      <c r="C809" s="26"/>
      <c r="E809" s="26"/>
      <c r="F809" s="57"/>
      <c r="I809" s="26"/>
    </row>
    <row r="810">
      <c r="A810" s="57"/>
      <c r="C810" s="26"/>
      <c r="E810" s="26"/>
      <c r="F810" s="57"/>
      <c r="I810" s="26"/>
    </row>
    <row r="811">
      <c r="A811" s="57"/>
      <c r="C811" s="26"/>
      <c r="E811" s="26"/>
      <c r="F811" s="57"/>
      <c r="I811" s="26"/>
    </row>
    <row r="812">
      <c r="A812" s="57"/>
      <c r="C812" s="26"/>
      <c r="E812" s="26"/>
      <c r="F812" s="57"/>
      <c r="I812" s="26"/>
    </row>
    <row r="813">
      <c r="A813" s="57"/>
      <c r="C813" s="26"/>
      <c r="E813" s="26"/>
      <c r="F813" s="57"/>
      <c r="I813" s="26"/>
    </row>
    <row r="814">
      <c r="A814" s="57"/>
      <c r="C814" s="26"/>
      <c r="E814" s="26"/>
      <c r="F814" s="57"/>
      <c r="I814" s="26"/>
    </row>
    <row r="815">
      <c r="A815" s="57"/>
      <c r="C815" s="26"/>
      <c r="E815" s="26"/>
      <c r="F815" s="57"/>
      <c r="I815" s="26"/>
    </row>
    <row r="816">
      <c r="A816" s="57"/>
      <c r="C816" s="26"/>
      <c r="E816" s="26"/>
      <c r="F816" s="57"/>
      <c r="I816" s="26"/>
    </row>
    <row r="817">
      <c r="A817" s="57"/>
      <c r="C817" s="26"/>
      <c r="E817" s="26"/>
      <c r="F817" s="57"/>
      <c r="I817" s="26"/>
    </row>
    <row r="818">
      <c r="A818" s="57"/>
      <c r="C818" s="26"/>
      <c r="E818" s="26"/>
      <c r="F818" s="57"/>
      <c r="I818" s="26"/>
    </row>
    <row r="819">
      <c r="A819" s="57"/>
      <c r="C819" s="26"/>
      <c r="E819" s="26"/>
      <c r="F819" s="57"/>
      <c r="I819" s="26"/>
    </row>
    <row r="820">
      <c r="A820" s="57"/>
      <c r="C820" s="26"/>
      <c r="E820" s="26"/>
      <c r="F820" s="57"/>
      <c r="I820" s="26"/>
    </row>
    <row r="821">
      <c r="A821" s="57"/>
      <c r="C821" s="26"/>
      <c r="E821" s="26"/>
      <c r="F821" s="57"/>
      <c r="I821" s="26"/>
    </row>
    <row r="822">
      <c r="A822" s="57"/>
      <c r="C822" s="26"/>
      <c r="E822" s="26"/>
      <c r="F822" s="57"/>
      <c r="I822" s="26"/>
    </row>
    <row r="823">
      <c r="A823" s="57"/>
      <c r="C823" s="26"/>
      <c r="E823" s="26"/>
      <c r="F823" s="57"/>
      <c r="I823" s="26"/>
    </row>
    <row r="824">
      <c r="A824" s="57"/>
      <c r="C824" s="26"/>
      <c r="E824" s="26"/>
      <c r="F824" s="57"/>
      <c r="I824" s="26"/>
    </row>
    <row r="825">
      <c r="A825" s="57"/>
      <c r="C825" s="26"/>
      <c r="E825" s="26"/>
      <c r="F825" s="57"/>
      <c r="I825" s="26"/>
    </row>
    <row r="826">
      <c r="A826" s="57"/>
      <c r="C826" s="26"/>
      <c r="E826" s="26"/>
      <c r="F826" s="57"/>
      <c r="I826" s="26"/>
    </row>
    <row r="827">
      <c r="A827" s="57"/>
      <c r="C827" s="26"/>
      <c r="E827" s="26"/>
      <c r="F827" s="57"/>
      <c r="I827" s="26"/>
    </row>
    <row r="828">
      <c r="A828" s="57"/>
      <c r="C828" s="26"/>
      <c r="E828" s="26"/>
      <c r="F828" s="57"/>
      <c r="I828" s="26"/>
    </row>
    <row r="829">
      <c r="A829" s="57"/>
      <c r="C829" s="26"/>
      <c r="E829" s="26"/>
      <c r="F829" s="57"/>
      <c r="I829" s="26"/>
    </row>
    <row r="830">
      <c r="A830" s="57"/>
      <c r="C830" s="26"/>
      <c r="E830" s="26"/>
      <c r="F830" s="57"/>
      <c r="I830" s="26"/>
    </row>
    <row r="831">
      <c r="A831" s="57"/>
      <c r="C831" s="26"/>
      <c r="E831" s="26"/>
      <c r="F831" s="57"/>
      <c r="I831" s="26"/>
    </row>
    <row r="832">
      <c r="A832" s="57"/>
      <c r="C832" s="26"/>
      <c r="E832" s="26"/>
      <c r="F832" s="57"/>
      <c r="I832" s="26"/>
    </row>
    <row r="833">
      <c r="A833" s="57"/>
      <c r="C833" s="26"/>
      <c r="E833" s="26"/>
      <c r="F833" s="57"/>
      <c r="I833" s="26"/>
    </row>
    <row r="834">
      <c r="A834" s="57"/>
      <c r="C834" s="26"/>
      <c r="E834" s="26"/>
      <c r="F834" s="57"/>
      <c r="I834" s="26"/>
    </row>
    <row r="835">
      <c r="A835" s="57"/>
      <c r="C835" s="26"/>
      <c r="E835" s="26"/>
      <c r="F835" s="57"/>
      <c r="I835" s="26"/>
    </row>
    <row r="836">
      <c r="A836" s="57"/>
      <c r="C836" s="26"/>
      <c r="E836" s="26"/>
      <c r="F836" s="57"/>
      <c r="I836" s="26"/>
    </row>
    <row r="837">
      <c r="A837" s="57"/>
      <c r="C837" s="26"/>
      <c r="E837" s="26"/>
      <c r="F837" s="57"/>
      <c r="I837" s="26"/>
    </row>
    <row r="838">
      <c r="A838" s="57"/>
      <c r="C838" s="26"/>
      <c r="E838" s="26"/>
      <c r="F838" s="57"/>
      <c r="I838" s="26"/>
    </row>
    <row r="839">
      <c r="A839" s="57"/>
      <c r="C839" s="26"/>
      <c r="E839" s="26"/>
      <c r="F839" s="57"/>
      <c r="I839" s="26"/>
    </row>
    <row r="840">
      <c r="A840" s="57"/>
      <c r="C840" s="26"/>
      <c r="E840" s="26"/>
      <c r="F840" s="57"/>
      <c r="I840" s="26"/>
    </row>
    <row r="841">
      <c r="A841" s="57"/>
      <c r="C841" s="26"/>
      <c r="E841" s="26"/>
      <c r="F841" s="57"/>
      <c r="I841" s="26"/>
    </row>
    <row r="842">
      <c r="A842" s="57"/>
      <c r="C842" s="26"/>
      <c r="E842" s="26"/>
      <c r="F842" s="57"/>
      <c r="I842" s="26"/>
    </row>
    <row r="843">
      <c r="A843" s="57"/>
      <c r="C843" s="26"/>
      <c r="E843" s="26"/>
      <c r="F843" s="57"/>
      <c r="I843" s="26"/>
    </row>
    <row r="844">
      <c r="A844" s="57"/>
      <c r="C844" s="26"/>
      <c r="E844" s="26"/>
      <c r="F844" s="57"/>
      <c r="I844" s="26"/>
    </row>
    <row r="845">
      <c r="A845" s="57"/>
      <c r="C845" s="26"/>
      <c r="E845" s="26"/>
      <c r="F845" s="57"/>
      <c r="I845" s="26"/>
    </row>
    <row r="846">
      <c r="A846" s="57"/>
      <c r="C846" s="26"/>
      <c r="E846" s="26"/>
      <c r="F846" s="57"/>
      <c r="I846" s="26"/>
    </row>
    <row r="847">
      <c r="A847" s="57"/>
      <c r="C847" s="26"/>
      <c r="E847" s="26"/>
      <c r="F847" s="57"/>
      <c r="I847" s="26"/>
    </row>
    <row r="848">
      <c r="A848" s="57"/>
      <c r="C848" s="26"/>
      <c r="E848" s="26"/>
      <c r="F848" s="57"/>
      <c r="I848" s="26"/>
    </row>
    <row r="849">
      <c r="A849" s="57"/>
      <c r="C849" s="26"/>
      <c r="E849" s="26"/>
      <c r="F849" s="57"/>
      <c r="I849" s="26"/>
    </row>
    <row r="850">
      <c r="A850" s="57"/>
      <c r="C850" s="26"/>
      <c r="E850" s="26"/>
      <c r="F850" s="57"/>
      <c r="I850" s="26"/>
    </row>
    <row r="851">
      <c r="A851" s="57"/>
      <c r="C851" s="26"/>
      <c r="E851" s="26"/>
      <c r="F851" s="57"/>
      <c r="I851" s="26"/>
    </row>
    <row r="852">
      <c r="A852" s="57"/>
      <c r="C852" s="26"/>
      <c r="E852" s="26"/>
      <c r="F852" s="57"/>
      <c r="I852" s="26"/>
    </row>
    <row r="853">
      <c r="A853" s="57"/>
      <c r="C853" s="26"/>
      <c r="E853" s="26"/>
      <c r="F853" s="57"/>
      <c r="I853" s="26"/>
    </row>
    <row r="854">
      <c r="A854" s="57"/>
      <c r="C854" s="26"/>
      <c r="E854" s="26"/>
      <c r="F854" s="57"/>
      <c r="I854" s="26"/>
    </row>
    <row r="855">
      <c r="A855" s="57"/>
      <c r="C855" s="26"/>
      <c r="E855" s="26"/>
      <c r="F855" s="57"/>
      <c r="I855" s="26"/>
    </row>
    <row r="856">
      <c r="A856" s="57"/>
      <c r="C856" s="26"/>
      <c r="E856" s="26"/>
      <c r="F856" s="57"/>
      <c r="I856" s="26"/>
    </row>
    <row r="857">
      <c r="A857" s="57"/>
      <c r="C857" s="26"/>
      <c r="E857" s="26"/>
      <c r="F857" s="57"/>
      <c r="I857" s="26"/>
    </row>
    <row r="858">
      <c r="A858" s="57"/>
      <c r="C858" s="26"/>
      <c r="E858" s="26"/>
      <c r="F858" s="57"/>
      <c r="I858" s="26"/>
    </row>
    <row r="859">
      <c r="A859" s="57"/>
      <c r="C859" s="26"/>
      <c r="E859" s="26"/>
      <c r="F859" s="57"/>
      <c r="I859" s="26"/>
    </row>
    <row r="860">
      <c r="A860" s="57"/>
      <c r="C860" s="26"/>
      <c r="E860" s="26"/>
      <c r="F860" s="57"/>
      <c r="I860" s="26"/>
    </row>
    <row r="861">
      <c r="A861" s="57"/>
      <c r="C861" s="26"/>
      <c r="E861" s="26"/>
      <c r="F861" s="57"/>
      <c r="I861" s="26"/>
    </row>
    <row r="862">
      <c r="A862" s="57"/>
      <c r="C862" s="26"/>
      <c r="E862" s="26"/>
      <c r="F862" s="57"/>
      <c r="I862" s="26"/>
    </row>
    <row r="863">
      <c r="A863" s="57"/>
      <c r="C863" s="26"/>
      <c r="E863" s="26"/>
      <c r="F863" s="57"/>
      <c r="I863" s="26"/>
    </row>
    <row r="864">
      <c r="A864" s="57"/>
      <c r="C864" s="26"/>
      <c r="E864" s="26"/>
      <c r="F864" s="57"/>
      <c r="I864" s="26"/>
    </row>
    <row r="865">
      <c r="A865" s="57"/>
      <c r="C865" s="26"/>
      <c r="E865" s="26"/>
      <c r="F865" s="57"/>
      <c r="I865" s="26"/>
    </row>
    <row r="866">
      <c r="A866" s="57"/>
      <c r="C866" s="26"/>
      <c r="E866" s="26"/>
      <c r="F866" s="57"/>
      <c r="I866" s="26"/>
    </row>
    <row r="867">
      <c r="A867" s="57"/>
      <c r="C867" s="26"/>
      <c r="E867" s="26"/>
      <c r="F867" s="57"/>
      <c r="I867" s="26"/>
    </row>
    <row r="868">
      <c r="A868" s="57"/>
      <c r="C868" s="26"/>
      <c r="E868" s="26"/>
      <c r="F868" s="57"/>
      <c r="I868" s="26"/>
    </row>
    <row r="869">
      <c r="A869" s="57"/>
      <c r="C869" s="26"/>
      <c r="E869" s="26"/>
      <c r="F869" s="57"/>
      <c r="I869" s="26"/>
    </row>
    <row r="870">
      <c r="A870" s="57"/>
      <c r="C870" s="26"/>
      <c r="E870" s="26"/>
      <c r="F870" s="57"/>
      <c r="I870" s="26"/>
    </row>
    <row r="871">
      <c r="A871" s="57"/>
      <c r="C871" s="26"/>
      <c r="E871" s="26"/>
      <c r="F871" s="57"/>
      <c r="I871" s="26"/>
    </row>
    <row r="872">
      <c r="A872" s="57"/>
      <c r="C872" s="26"/>
      <c r="E872" s="26"/>
      <c r="F872" s="57"/>
      <c r="I872" s="26"/>
    </row>
    <row r="873">
      <c r="A873" s="57"/>
      <c r="C873" s="26"/>
      <c r="E873" s="26"/>
      <c r="F873" s="57"/>
      <c r="I873" s="26"/>
    </row>
    <row r="874">
      <c r="A874" s="57"/>
      <c r="C874" s="26"/>
      <c r="E874" s="26"/>
      <c r="F874" s="57"/>
      <c r="I874" s="26"/>
    </row>
    <row r="875">
      <c r="A875" s="57"/>
      <c r="C875" s="26"/>
      <c r="E875" s="26"/>
      <c r="F875" s="57"/>
      <c r="I875" s="26"/>
    </row>
    <row r="876">
      <c r="A876" s="57"/>
      <c r="C876" s="26"/>
      <c r="E876" s="26"/>
      <c r="F876" s="57"/>
      <c r="I876" s="26"/>
    </row>
    <row r="877">
      <c r="A877" s="57"/>
      <c r="C877" s="26"/>
      <c r="E877" s="26"/>
      <c r="F877" s="57"/>
      <c r="I877" s="26"/>
    </row>
    <row r="878">
      <c r="A878" s="57"/>
      <c r="C878" s="26"/>
      <c r="E878" s="26"/>
      <c r="F878" s="57"/>
      <c r="I878" s="26"/>
    </row>
    <row r="879">
      <c r="A879" s="57"/>
      <c r="C879" s="26"/>
      <c r="E879" s="26"/>
      <c r="F879" s="57"/>
      <c r="I879" s="26"/>
    </row>
    <row r="880">
      <c r="A880" s="57"/>
      <c r="C880" s="26"/>
      <c r="E880" s="26"/>
      <c r="F880" s="57"/>
      <c r="I880" s="26"/>
    </row>
    <row r="881">
      <c r="A881" s="57"/>
      <c r="C881" s="26"/>
      <c r="E881" s="26"/>
      <c r="F881" s="57"/>
      <c r="I881" s="26"/>
    </row>
    <row r="882">
      <c r="A882" s="57"/>
      <c r="C882" s="26"/>
      <c r="E882" s="26"/>
      <c r="F882" s="57"/>
      <c r="I882" s="26"/>
    </row>
    <row r="883">
      <c r="A883" s="57"/>
      <c r="C883" s="26"/>
      <c r="E883" s="26"/>
      <c r="F883" s="57"/>
      <c r="I883" s="26"/>
    </row>
    <row r="884">
      <c r="A884" s="57"/>
      <c r="C884" s="26"/>
      <c r="E884" s="26"/>
      <c r="F884" s="57"/>
      <c r="I884" s="26"/>
    </row>
    <row r="885">
      <c r="A885" s="57"/>
      <c r="C885" s="26"/>
      <c r="E885" s="26"/>
      <c r="F885" s="57"/>
      <c r="I885" s="26"/>
    </row>
    <row r="886">
      <c r="A886" s="57"/>
      <c r="C886" s="26"/>
      <c r="E886" s="26"/>
      <c r="F886" s="57"/>
      <c r="I886" s="26"/>
    </row>
    <row r="887">
      <c r="A887" s="57"/>
      <c r="C887" s="26"/>
      <c r="E887" s="26"/>
      <c r="F887" s="57"/>
      <c r="I887" s="26"/>
    </row>
    <row r="888">
      <c r="A888" s="57"/>
      <c r="C888" s="26"/>
      <c r="E888" s="26"/>
      <c r="F888" s="57"/>
      <c r="I888" s="26"/>
    </row>
    <row r="889">
      <c r="A889" s="57"/>
      <c r="C889" s="26"/>
      <c r="E889" s="26"/>
      <c r="F889" s="57"/>
      <c r="I889" s="26"/>
    </row>
    <row r="890">
      <c r="A890" s="57"/>
      <c r="C890" s="26"/>
      <c r="E890" s="26"/>
      <c r="F890" s="57"/>
      <c r="I890" s="26"/>
    </row>
    <row r="891">
      <c r="A891" s="57"/>
      <c r="C891" s="26"/>
      <c r="E891" s="26"/>
      <c r="F891" s="57"/>
      <c r="I891" s="26"/>
    </row>
    <row r="892">
      <c r="A892" s="57"/>
      <c r="C892" s="26"/>
      <c r="E892" s="26"/>
      <c r="F892" s="57"/>
      <c r="I892" s="26"/>
    </row>
    <row r="893">
      <c r="A893" s="57"/>
      <c r="C893" s="26"/>
      <c r="E893" s="26"/>
      <c r="F893" s="57"/>
      <c r="I893" s="26"/>
    </row>
    <row r="894">
      <c r="A894" s="57"/>
      <c r="C894" s="26"/>
      <c r="E894" s="26"/>
      <c r="F894" s="57"/>
      <c r="I894" s="26"/>
    </row>
    <row r="895">
      <c r="A895" s="57"/>
      <c r="C895" s="26"/>
      <c r="E895" s="26"/>
      <c r="F895" s="57"/>
      <c r="I895" s="26"/>
    </row>
    <row r="896">
      <c r="A896" s="57"/>
      <c r="C896" s="26"/>
      <c r="E896" s="26"/>
      <c r="F896" s="57"/>
      <c r="I896" s="26"/>
    </row>
    <row r="897">
      <c r="A897" s="57"/>
      <c r="C897" s="26"/>
      <c r="E897" s="26"/>
      <c r="F897" s="57"/>
      <c r="I897" s="26"/>
    </row>
    <row r="898">
      <c r="A898" s="57"/>
      <c r="C898" s="26"/>
      <c r="E898" s="26"/>
      <c r="F898" s="57"/>
      <c r="I898" s="26"/>
    </row>
    <row r="899">
      <c r="A899" s="57"/>
      <c r="C899" s="26"/>
      <c r="E899" s="26"/>
      <c r="F899" s="57"/>
      <c r="I899" s="26"/>
    </row>
    <row r="900">
      <c r="A900" s="57"/>
      <c r="C900" s="26"/>
      <c r="E900" s="26"/>
      <c r="F900" s="57"/>
      <c r="I900" s="26"/>
    </row>
    <row r="901">
      <c r="A901" s="57"/>
      <c r="C901" s="26"/>
      <c r="E901" s="26"/>
      <c r="F901" s="57"/>
      <c r="I901" s="26"/>
    </row>
    <row r="902">
      <c r="A902" s="57"/>
      <c r="C902" s="26"/>
      <c r="E902" s="26"/>
      <c r="F902" s="57"/>
      <c r="I902" s="26"/>
    </row>
    <row r="903">
      <c r="A903" s="57"/>
      <c r="C903" s="26"/>
      <c r="E903" s="26"/>
      <c r="F903" s="57"/>
      <c r="I903" s="26"/>
    </row>
    <row r="904">
      <c r="A904" s="57"/>
      <c r="C904" s="26"/>
      <c r="E904" s="26"/>
      <c r="F904" s="57"/>
      <c r="I904" s="26"/>
    </row>
    <row r="905">
      <c r="A905" s="57"/>
      <c r="C905" s="26"/>
      <c r="E905" s="26"/>
      <c r="F905" s="57"/>
      <c r="I905" s="26"/>
    </row>
    <row r="906">
      <c r="A906" s="57"/>
      <c r="C906" s="26"/>
      <c r="E906" s="26"/>
      <c r="F906" s="57"/>
      <c r="I906" s="26"/>
    </row>
    <row r="907">
      <c r="A907" s="57"/>
      <c r="C907" s="26"/>
      <c r="E907" s="26"/>
      <c r="F907" s="57"/>
      <c r="I907" s="26"/>
    </row>
    <row r="908">
      <c r="A908" s="57"/>
      <c r="C908" s="26"/>
      <c r="E908" s="26"/>
      <c r="F908" s="57"/>
      <c r="I908" s="26"/>
    </row>
    <row r="909">
      <c r="A909" s="57"/>
      <c r="C909" s="26"/>
      <c r="E909" s="26"/>
      <c r="F909" s="57"/>
      <c r="I909" s="26"/>
    </row>
    <row r="910">
      <c r="A910" s="57"/>
      <c r="C910" s="26"/>
      <c r="E910" s="26"/>
      <c r="F910" s="57"/>
      <c r="I910" s="26"/>
    </row>
    <row r="911">
      <c r="A911" s="57"/>
      <c r="C911" s="26"/>
      <c r="E911" s="26"/>
      <c r="F911" s="57"/>
      <c r="I911" s="26"/>
    </row>
    <row r="912">
      <c r="A912" s="57"/>
      <c r="C912" s="26"/>
      <c r="E912" s="26"/>
      <c r="F912" s="57"/>
      <c r="I912" s="26"/>
    </row>
    <row r="913">
      <c r="A913" s="57"/>
      <c r="C913" s="26"/>
      <c r="E913" s="26"/>
      <c r="F913" s="57"/>
      <c r="I913" s="26"/>
    </row>
    <row r="914">
      <c r="A914" s="57"/>
      <c r="C914" s="26"/>
      <c r="E914" s="26"/>
      <c r="F914" s="57"/>
      <c r="I914" s="26"/>
    </row>
    <row r="915">
      <c r="A915" s="57"/>
      <c r="C915" s="26"/>
      <c r="E915" s="26"/>
      <c r="F915" s="57"/>
      <c r="I915" s="26"/>
    </row>
    <row r="916">
      <c r="A916" s="57"/>
      <c r="C916" s="26"/>
      <c r="E916" s="26"/>
      <c r="F916" s="57"/>
      <c r="I916" s="26"/>
    </row>
    <row r="917">
      <c r="A917" s="57"/>
      <c r="C917" s="26"/>
      <c r="E917" s="26"/>
      <c r="F917" s="57"/>
      <c r="I917" s="26"/>
    </row>
    <row r="918">
      <c r="A918" s="57"/>
      <c r="C918" s="26"/>
      <c r="E918" s="26"/>
      <c r="F918" s="57"/>
      <c r="I918" s="26"/>
    </row>
    <row r="919">
      <c r="A919" s="57"/>
      <c r="C919" s="26"/>
      <c r="E919" s="26"/>
      <c r="F919" s="57"/>
      <c r="I919" s="26"/>
    </row>
    <row r="920">
      <c r="A920" s="57"/>
      <c r="C920" s="26"/>
      <c r="E920" s="26"/>
      <c r="F920" s="57"/>
      <c r="I920" s="26"/>
    </row>
    <row r="921">
      <c r="A921" s="57"/>
      <c r="C921" s="26"/>
      <c r="E921" s="26"/>
      <c r="F921" s="57"/>
      <c r="I921" s="26"/>
    </row>
    <row r="922">
      <c r="A922" s="57"/>
      <c r="C922" s="26"/>
      <c r="E922" s="26"/>
      <c r="F922" s="57"/>
      <c r="I922" s="26"/>
    </row>
    <row r="923">
      <c r="A923" s="57"/>
      <c r="C923" s="26"/>
      <c r="E923" s="26"/>
      <c r="F923" s="57"/>
      <c r="I923" s="26"/>
    </row>
    <row r="924">
      <c r="A924" s="57"/>
      <c r="C924" s="26"/>
      <c r="E924" s="26"/>
      <c r="F924" s="57"/>
      <c r="I924" s="26"/>
    </row>
    <row r="925">
      <c r="A925" s="57"/>
      <c r="C925" s="26"/>
      <c r="E925" s="26"/>
      <c r="F925" s="57"/>
      <c r="I925" s="26"/>
    </row>
    <row r="926">
      <c r="A926" s="57"/>
      <c r="C926" s="26"/>
      <c r="E926" s="26"/>
      <c r="F926" s="57"/>
      <c r="I926" s="26"/>
    </row>
    <row r="927">
      <c r="A927" s="57"/>
      <c r="C927" s="26"/>
      <c r="E927" s="26"/>
      <c r="F927" s="57"/>
      <c r="I927" s="26"/>
    </row>
    <row r="928">
      <c r="A928" s="57"/>
      <c r="C928" s="26"/>
      <c r="E928" s="26"/>
      <c r="F928" s="57"/>
      <c r="I928" s="26"/>
    </row>
    <row r="929">
      <c r="A929" s="57"/>
      <c r="C929" s="26"/>
      <c r="E929" s="26"/>
      <c r="F929" s="57"/>
      <c r="I929" s="26"/>
    </row>
    <row r="930">
      <c r="A930" s="57"/>
      <c r="C930" s="26"/>
      <c r="E930" s="26"/>
      <c r="F930" s="57"/>
      <c r="I930" s="26"/>
    </row>
    <row r="931">
      <c r="A931" s="57"/>
      <c r="C931" s="26"/>
      <c r="E931" s="26"/>
      <c r="F931" s="57"/>
      <c r="I931" s="26"/>
    </row>
    <row r="932">
      <c r="A932" s="57"/>
      <c r="C932" s="26"/>
      <c r="E932" s="26"/>
      <c r="F932" s="57"/>
      <c r="I932" s="26"/>
    </row>
    <row r="933">
      <c r="A933" s="57"/>
      <c r="C933" s="26"/>
      <c r="E933" s="26"/>
      <c r="F933" s="57"/>
      <c r="I933" s="26"/>
    </row>
    <row r="934">
      <c r="A934" s="57"/>
      <c r="C934" s="26"/>
      <c r="E934" s="26"/>
      <c r="F934" s="57"/>
      <c r="I934" s="26"/>
    </row>
    <row r="935">
      <c r="A935" s="57"/>
      <c r="C935" s="26"/>
      <c r="E935" s="26"/>
      <c r="F935" s="57"/>
      <c r="I935" s="26"/>
    </row>
    <row r="936">
      <c r="A936" s="57"/>
      <c r="C936" s="26"/>
      <c r="E936" s="26"/>
      <c r="F936" s="57"/>
      <c r="I936" s="26"/>
    </row>
    <row r="937">
      <c r="A937" s="57"/>
      <c r="C937" s="26"/>
      <c r="E937" s="26"/>
      <c r="F937" s="57"/>
      <c r="I937" s="26"/>
    </row>
    <row r="938">
      <c r="A938" s="57"/>
      <c r="C938" s="26"/>
      <c r="E938" s="26"/>
      <c r="F938" s="57"/>
      <c r="I938" s="26"/>
    </row>
    <row r="939">
      <c r="A939" s="57"/>
      <c r="C939" s="26"/>
      <c r="E939" s="26"/>
      <c r="F939" s="57"/>
      <c r="I939" s="26"/>
    </row>
    <row r="940">
      <c r="A940" s="57"/>
      <c r="C940" s="26"/>
      <c r="E940" s="26"/>
      <c r="F940" s="57"/>
      <c r="I940" s="26"/>
    </row>
    <row r="941">
      <c r="A941" s="57"/>
      <c r="C941" s="26"/>
      <c r="E941" s="26"/>
      <c r="F941" s="57"/>
      <c r="I941" s="26"/>
    </row>
    <row r="942">
      <c r="A942" s="57"/>
      <c r="C942" s="26"/>
      <c r="E942" s="26"/>
      <c r="F942" s="57"/>
      <c r="I942" s="26"/>
    </row>
    <row r="943">
      <c r="A943" s="57"/>
      <c r="C943" s="26"/>
      <c r="E943" s="26"/>
      <c r="F943" s="57"/>
      <c r="I943" s="26"/>
    </row>
    <row r="944">
      <c r="A944" s="57"/>
      <c r="C944" s="26"/>
      <c r="E944" s="26"/>
      <c r="F944" s="57"/>
      <c r="I944" s="26"/>
    </row>
    <row r="945">
      <c r="A945" s="57"/>
      <c r="C945" s="26"/>
      <c r="E945" s="26"/>
      <c r="F945" s="57"/>
      <c r="I945" s="26"/>
    </row>
    <row r="946">
      <c r="A946" s="57"/>
      <c r="C946" s="26"/>
      <c r="E946" s="26"/>
      <c r="F946" s="57"/>
      <c r="I946" s="26"/>
    </row>
    <row r="947">
      <c r="A947" s="57"/>
      <c r="C947" s="26"/>
      <c r="E947" s="26"/>
      <c r="F947" s="57"/>
      <c r="I947" s="26"/>
    </row>
    <row r="948">
      <c r="A948" s="57"/>
      <c r="C948" s="26"/>
      <c r="E948" s="26"/>
      <c r="F948" s="57"/>
      <c r="I948" s="26"/>
    </row>
    <row r="949">
      <c r="A949" s="57"/>
      <c r="C949" s="26"/>
      <c r="E949" s="26"/>
      <c r="F949" s="57"/>
      <c r="I949" s="26"/>
    </row>
    <row r="950">
      <c r="A950" s="57"/>
      <c r="C950" s="26"/>
      <c r="E950" s="26"/>
      <c r="F950" s="57"/>
      <c r="I950" s="26"/>
    </row>
    <row r="951">
      <c r="A951" s="57"/>
      <c r="C951" s="26"/>
      <c r="E951" s="26"/>
      <c r="F951" s="57"/>
      <c r="I951" s="26"/>
    </row>
    <row r="952">
      <c r="A952" s="57"/>
      <c r="C952" s="26"/>
      <c r="E952" s="26"/>
      <c r="F952" s="57"/>
      <c r="I952" s="26"/>
    </row>
    <row r="953">
      <c r="A953" s="57"/>
      <c r="C953" s="26"/>
      <c r="E953" s="26"/>
      <c r="F953" s="57"/>
      <c r="I953" s="26"/>
    </row>
    <row r="954">
      <c r="A954" s="57"/>
      <c r="C954" s="26"/>
      <c r="E954" s="26"/>
      <c r="F954" s="57"/>
      <c r="I954" s="26"/>
    </row>
    <row r="955">
      <c r="A955" s="57"/>
      <c r="C955" s="26"/>
      <c r="E955" s="26"/>
      <c r="F955" s="57"/>
      <c r="I955" s="26"/>
    </row>
    <row r="956">
      <c r="A956" s="57"/>
      <c r="C956" s="26"/>
      <c r="E956" s="26"/>
      <c r="F956" s="57"/>
      <c r="I956" s="26"/>
    </row>
    <row r="957">
      <c r="A957" s="57"/>
      <c r="C957" s="26"/>
      <c r="E957" s="26"/>
      <c r="F957" s="57"/>
      <c r="I957" s="26"/>
    </row>
    <row r="958">
      <c r="A958" s="57"/>
      <c r="C958" s="26"/>
      <c r="E958" s="26"/>
      <c r="F958" s="57"/>
      <c r="I958" s="26"/>
    </row>
    <row r="959">
      <c r="A959" s="57"/>
      <c r="C959" s="26"/>
      <c r="E959" s="26"/>
      <c r="F959" s="57"/>
      <c r="I959" s="26"/>
    </row>
    <row r="960">
      <c r="A960" s="57"/>
      <c r="C960" s="26"/>
      <c r="E960" s="26"/>
      <c r="F960" s="57"/>
      <c r="I960" s="26"/>
    </row>
    <row r="961">
      <c r="A961" s="57"/>
      <c r="C961" s="26"/>
      <c r="E961" s="26"/>
      <c r="F961" s="57"/>
      <c r="I961" s="26"/>
    </row>
    <row r="962">
      <c r="A962" s="57"/>
      <c r="C962" s="26"/>
      <c r="E962" s="26"/>
      <c r="F962" s="57"/>
      <c r="I962" s="26"/>
    </row>
    <row r="963">
      <c r="A963" s="57"/>
      <c r="C963" s="26"/>
      <c r="E963" s="26"/>
      <c r="F963" s="57"/>
      <c r="I963" s="26"/>
    </row>
    <row r="964">
      <c r="A964" s="57"/>
      <c r="C964" s="26"/>
      <c r="E964" s="26"/>
      <c r="F964" s="57"/>
      <c r="I964" s="26"/>
    </row>
    <row r="965">
      <c r="A965" s="57"/>
      <c r="C965" s="26"/>
      <c r="E965" s="26"/>
      <c r="F965" s="57"/>
      <c r="I965" s="26"/>
    </row>
    <row r="966">
      <c r="A966" s="57"/>
      <c r="C966" s="26"/>
      <c r="E966" s="26"/>
      <c r="F966" s="57"/>
      <c r="I966" s="26"/>
    </row>
    <row r="967">
      <c r="A967" s="57"/>
      <c r="C967" s="26"/>
      <c r="E967" s="26"/>
      <c r="F967" s="57"/>
      <c r="I967" s="26"/>
    </row>
    <row r="968">
      <c r="A968" s="57"/>
      <c r="C968" s="26"/>
      <c r="E968" s="26"/>
      <c r="F968" s="57"/>
      <c r="I968" s="26"/>
    </row>
    <row r="969">
      <c r="A969" s="57"/>
      <c r="C969" s="26"/>
      <c r="E969" s="26"/>
      <c r="F969" s="57"/>
      <c r="I969" s="26"/>
    </row>
    <row r="970">
      <c r="A970" s="57"/>
      <c r="C970" s="26"/>
      <c r="E970" s="26"/>
      <c r="F970" s="57"/>
      <c r="I970" s="26"/>
    </row>
    <row r="971">
      <c r="A971" s="57"/>
      <c r="C971" s="26"/>
      <c r="E971" s="26"/>
      <c r="F971" s="57"/>
      <c r="I971" s="26"/>
    </row>
    <row r="972">
      <c r="A972" s="57"/>
      <c r="C972" s="26"/>
      <c r="E972" s="26"/>
      <c r="F972" s="57"/>
      <c r="I972" s="26"/>
    </row>
    <row r="973">
      <c r="A973" s="57"/>
      <c r="C973" s="26"/>
      <c r="E973" s="26"/>
      <c r="F973" s="57"/>
      <c r="I973" s="26"/>
    </row>
    <row r="974">
      <c r="A974" s="57"/>
      <c r="C974" s="26"/>
      <c r="E974" s="26"/>
      <c r="F974" s="57"/>
      <c r="I974" s="26"/>
    </row>
    <row r="975">
      <c r="A975" s="57"/>
      <c r="C975" s="26"/>
      <c r="E975" s="26"/>
      <c r="F975" s="57"/>
      <c r="I975" s="26"/>
    </row>
    <row r="976">
      <c r="A976" s="57"/>
      <c r="C976" s="26"/>
      <c r="E976" s="26"/>
      <c r="F976" s="57"/>
      <c r="I976" s="26"/>
    </row>
    <row r="977">
      <c r="A977" s="57"/>
      <c r="C977" s="26"/>
      <c r="E977" s="26"/>
      <c r="F977" s="57"/>
      <c r="I977" s="26"/>
    </row>
    <row r="978">
      <c r="A978" s="57"/>
      <c r="C978" s="26"/>
      <c r="E978" s="26"/>
      <c r="F978" s="57"/>
      <c r="I978" s="26"/>
    </row>
    <row r="979">
      <c r="A979" s="57"/>
      <c r="C979" s="26"/>
      <c r="E979" s="26"/>
      <c r="F979" s="57"/>
      <c r="I979" s="26"/>
    </row>
    <row r="980">
      <c r="A980" s="57"/>
      <c r="C980" s="26"/>
      <c r="E980" s="26"/>
      <c r="F980" s="57"/>
      <c r="I980" s="26"/>
    </row>
    <row r="981">
      <c r="A981" s="57"/>
      <c r="C981" s="26"/>
      <c r="E981" s="26"/>
      <c r="F981" s="57"/>
      <c r="I981" s="26"/>
    </row>
    <row r="982">
      <c r="A982" s="57"/>
      <c r="C982" s="26"/>
      <c r="E982" s="26"/>
      <c r="F982" s="57"/>
      <c r="I982" s="26"/>
    </row>
    <row r="983">
      <c r="A983" s="57"/>
      <c r="C983" s="26"/>
      <c r="E983" s="26"/>
      <c r="F983" s="57"/>
      <c r="I983" s="26"/>
    </row>
    <row r="984">
      <c r="A984" s="57"/>
      <c r="C984" s="26"/>
      <c r="E984" s="26"/>
      <c r="F984" s="57"/>
      <c r="I984" s="26"/>
    </row>
    <row r="985">
      <c r="A985" s="57"/>
      <c r="C985" s="26"/>
      <c r="E985" s="26"/>
      <c r="F985" s="57"/>
      <c r="I985" s="26"/>
    </row>
    <row r="986">
      <c r="A986" s="57"/>
      <c r="C986" s="26"/>
      <c r="E986" s="26"/>
      <c r="F986" s="57"/>
      <c r="I986" s="26"/>
    </row>
    <row r="987">
      <c r="A987" s="57"/>
      <c r="C987" s="26"/>
      <c r="E987" s="26"/>
      <c r="F987" s="57"/>
      <c r="I987" s="26"/>
    </row>
    <row r="988">
      <c r="A988" s="57"/>
      <c r="C988" s="26"/>
      <c r="E988" s="26"/>
      <c r="F988" s="57"/>
      <c r="I988" s="26"/>
    </row>
    <row r="989">
      <c r="A989" s="57"/>
      <c r="C989" s="26"/>
      <c r="E989" s="26"/>
      <c r="F989" s="57"/>
      <c r="I989" s="26"/>
    </row>
    <row r="990">
      <c r="A990" s="57"/>
      <c r="C990" s="26"/>
      <c r="E990" s="26"/>
      <c r="F990" s="57"/>
      <c r="I990" s="26"/>
    </row>
    <row r="991">
      <c r="A991" s="57"/>
      <c r="C991" s="26"/>
      <c r="E991" s="26"/>
      <c r="F991" s="57"/>
      <c r="I991" s="26"/>
    </row>
    <row r="992">
      <c r="A992" s="57"/>
      <c r="C992" s="26"/>
      <c r="E992" s="26"/>
      <c r="F992" s="57"/>
      <c r="I992" s="26"/>
    </row>
    <row r="993">
      <c r="A993" s="57"/>
      <c r="C993" s="26"/>
      <c r="E993" s="26"/>
      <c r="F993" s="57"/>
      <c r="I993" s="26"/>
    </row>
    <row r="994">
      <c r="A994" s="57"/>
      <c r="C994" s="26"/>
      <c r="E994" s="26"/>
      <c r="F994" s="57"/>
      <c r="I994" s="26"/>
    </row>
    <row r="995">
      <c r="A995" s="57"/>
      <c r="C995" s="26"/>
      <c r="E995" s="26"/>
      <c r="F995" s="57"/>
      <c r="I995" s="26"/>
    </row>
    <row r="996">
      <c r="A996" s="57"/>
      <c r="C996" s="26"/>
      <c r="E996" s="26"/>
      <c r="F996" s="57"/>
      <c r="I996" s="26"/>
    </row>
    <row r="997">
      <c r="A997" s="57"/>
      <c r="C997" s="26"/>
      <c r="E997" s="26"/>
      <c r="F997" s="57"/>
      <c r="I997" s="26"/>
    </row>
    <row r="998">
      <c r="A998" s="57"/>
      <c r="C998" s="26"/>
      <c r="E998" s="26"/>
      <c r="F998" s="57"/>
      <c r="I998" s="26"/>
    </row>
    <row r="999">
      <c r="A999" s="57"/>
      <c r="C999" s="26"/>
      <c r="E999" s="26"/>
      <c r="F999" s="57"/>
      <c r="I999" s="26"/>
    </row>
  </sheetData>
  <autoFilter ref="$A$2:$Z$225"/>
  <dataValidations>
    <dataValidation type="list" allowBlank="1" sqref="A3:A999">
      <formula1>"Mọc nhà,Dựng nhà theo phần,Thêm nội thất,D2N,Trang trí noel,4 mùa,Thêm người,Nổ,Thắp lửa"</formula1>
    </dataValidation>
    <dataValidation type="list" allowBlank="1" showErrorMessage="1" sqref="F3:F102 E103:F115 F116:F138 E139:F164 F165 F168 F172:F999">
      <formula1>"Higgsfield,Envato"</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G20"/>
    <hyperlink r:id="rId38" ref="C21"/>
    <hyperlink r:id="rId39" ref="E21"/>
    <hyperlink r:id="rId40" ref="G21"/>
    <hyperlink r:id="rId41" ref="C23"/>
    <hyperlink r:id="rId42" ref="E23"/>
    <hyperlink r:id="rId43" ref="G23"/>
    <hyperlink r:id="rId44" ref="C24"/>
    <hyperlink r:id="rId45" ref="E24"/>
    <hyperlink r:id="rId46" ref="C25"/>
    <hyperlink r:id="rId47" ref="E25"/>
    <hyperlink r:id="rId48" ref="G25"/>
    <hyperlink r:id="rId49" ref="C26"/>
    <hyperlink r:id="rId50" ref="E26"/>
    <hyperlink r:id="rId51" ref="G26"/>
    <hyperlink r:id="rId52" ref="C27"/>
    <hyperlink r:id="rId53" ref="E27"/>
    <hyperlink r:id="rId54" ref="C28"/>
    <hyperlink r:id="rId55" ref="E28"/>
    <hyperlink r:id="rId56" ref="C29"/>
    <hyperlink r:id="rId57" ref="E29"/>
    <hyperlink r:id="rId58" ref="C30"/>
    <hyperlink r:id="rId59" ref="E30"/>
    <hyperlink r:id="rId60" ref="C31"/>
    <hyperlink r:id="rId61" ref="E31"/>
    <hyperlink r:id="rId62" ref="C32"/>
    <hyperlink r:id="rId63" ref="E32"/>
    <hyperlink r:id="rId64" ref="G32"/>
    <hyperlink r:id="rId65" ref="C33"/>
    <hyperlink r:id="rId66" ref="E33"/>
    <hyperlink r:id="rId67" ref="G33"/>
    <hyperlink r:id="rId68" ref="C34"/>
    <hyperlink r:id="rId69" ref="E34"/>
    <hyperlink r:id="rId70" ref="C35"/>
    <hyperlink r:id="rId71" ref="E35"/>
    <hyperlink r:id="rId72" ref="C36"/>
    <hyperlink r:id="rId73" ref="E36"/>
    <hyperlink r:id="rId74" ref="C37"/>
    <hyperlink r:id="rId75" ref="E37"/>
    <hyperlink r:id="rId76" ref="C38"/>
    <hyperlink r:id="rId77" ref="E38"/>
    <hyperlink r:id="rId78" ref="C39"/>
    <hyperlink r:id="rId79" ref="E39"/>
    <hyperlink r:id="rId80" ref="C40"/>
    <hyperlink r:id="rId81" ref="E40"/>
    <hyperlink r:id="rId82" ref="C41"/>
    <hyperlink r:id="rId83" ref="E41"/>
    <hyperlink r:id="rId84" ref="C42"/>
    <hyperlink r:id="rId85" ref="E42"/>
    <hyperlink r:id="rId86" ref="G42"/>
    <hyperlink r:id="rId87" ref="C43"/>
    <hyperlink r:id="rId88" ref="E43"/>
    <hyperlink r:id="rId89" location="96ce7a1e2bcdd848" ref="G43"/>
    <hyperlink r:id="rId90" ref="C44"/>
    <hyperlink r:id="rId91" ref="E44"/>
    <hyperlink r:id="rId92" ref="G44"/>
    <hyperlink r:id="rId93" ref="C45"/>
    <hyperlink r:id="rId94" ref="E45"/>
    <hyperlink r:id="rId95" ref="C46"/>
    <hyperlink r:id="rId96" ref="E46"/>
    <hyperlink r:id="rId97" ref="C47"/>
    <hyperlink r:id="rId98" ref="E47"/>
    <hyperlink r:id="rId99" ref="C48"/>
    <hyperlink r:id="rId100" ref="E48"/>
    <hyperlink r:id="rId101" ref="I48"/>
    <hyperlink r:id="rId102" ref="C49"/>
    <hyperlink r:id="rId103" ref="E49"/>
    <hyperlink r:id="rId104" ref="C50"/>
    <hyperlink r:id="rId105" ref="E50"/>
    <hyperlink r:id="rId106" ref="C51"/>
    <hyperlink r:id="rId107" ref="E51"/>
    <hyperlink r:id="rId108" ref="C52"/>
    <hyperlink r:id="rId109" ref="E52"/>
    <hyperlink r:id="rId110" ref="C53"/>
    <hyperlink r:id="rId111" ref="E53"/>
    <hyperlink r:id="rId112" ref="C54"/>
    <hyperlink r:id="rId113" ref="E54"/>
    <hyperlink r:id="rId114" ref="C55"/>
    <hyperlink r:id="rId115" ref="E55"/>
    <hyperlink r:id="rId116" ref="C56"/>
    <hyperlink r:id="rId117" ref="E56"/>
    <hyperlink r:id="rId118" ref="C57"/>
    <hyperlink r:id="rId119" ref="E57"/>
    <hyperlink r:id="rId120" ref="C58"/>
    <hyperlink r:id="rId121" ref="E58"/>
    <hyperlink r:id="rId122" ref="I58"/>
    <hyperlink r:id="rId123" ref="C59"/>
    <hyperlink r:id="rId124" ref="E59"/>
    <hyperlink r:id="rId125" ref="I59"/>
    <hyperlink r:id="rId126" ref="C60"/>
    <hyperlink r:id="rId127" ref="E60"/>
    <hyperlink r:id="rId128" ref="C61"/>
    <hyperlink r:id="rId129" ref="E61"/>
    <hyperlink r:id="rId130" ref="C62"/>
    <hyperlink r:id="rId131" ref="E62"/>
    <hyperlink r:id="rId132" ref="C63"/>
    <hyperlink r:id="rId133" ref="E63"/>
    <hyperlink r:id="rId134" ref="C64"/>
    <hyperlink r:id="rId135" ref="E64"/>
    <hyperlink r:id="rId136" ref="C65"/>
    <hyperlink r:id="rId137" ref="E65"/>
    <hyperlink r:id="rId138" ref="G65"/>
    <hyperlink r:id="rId139" ref="C66"/>
    <hyperlink r:id="rId140" ref="E66"/>
    <hyperlink r:id="rId141" ref="C67"/>
    <hyperlink r:id="rId142" ref="E67"/>
    <hyperlink r:id="rId143" ref="C68"/>
    <hyperlink r:id="rId144" ref="E68"/>
    <hyperlink r:id="rId145" ref="G68"/>
    <hyperlink r:id="rId146" ref="C69"/>
    <hyperlink r:id="rId147" ref="E69"/>
    <hyperlink r:id="rId148" ref="G69"/>
    <hyperlink r:id="rId149" ref="C70"/>
    <hyperlink r:id="rId150" ref="E70"/>
    <hyperlink r:id="rId151" ref="C71"/>
    <hyperlink r:id="rId152" ref="E71"/>
    <hyperlink r:id="rId153" ref="C72"/>
    <hyperlink r:id="rId154" ref="E72"/>
    <hyperlink r:id="rId155" ref="C73"/>
    <hyperlink r:id="rId156" ref="E73"/>
    <hyperlink r:id="rId157" ref="C74"/>
    <hyperlink r:id="rId158" ref="E74"/>
    <hyperlink r:id="rId159" ref="C75"/>
    <hyperlink r:id="rId160" ref="E75"/>
    <hyperlink r:id="rId161" ref="C76"/>
    <hyperlink r:id="rId162" ref="E76"/>
    <hyperlink r:id="rId163" ref="C77"/>
    <hyperlink r:id="rId164" ref="E77"/>
    <hyperlink r:id="rId165" ref="C78"/>
    <hyperlink r:id="rId166" ref="E78"/>
    <hyperlink r:id="rId167" ref="C79"/>
    <hyperlink r:id="rId168" ref="E79"/>
    <hyperlink r:id="rId169" ref="C80"/>
    <hyperlink r:id="rId170" ref="E80"/>
    <hyperlink r:id="rId171" ref="C81"/>
    <hyperlink r:id="rId172" ref="E81"/>
    <hyperlink r:id="rId173" ref="C82"/>
    <hyperlink r:id="rId174" ref="E82"/>
    <hyperlink r:id="rId175" ref="C83"/>
    <hyperlink r:id="rId176" ref="E83"/>
    <hyperlink r:id="rId177" ref="C84"/>
    <hyperlink r:id="rId178" ref="E84"/>
    <hyperlink r:id="rId179" ref="C85"/>
    <hyperlink r:id="rId180" ref="E85"/>
    <hyperlink r:id="rId181" ref="C86"/>
    <hyperlink r:id="rId182" ref="E86"/>
    <hyperlink r:id="rId183" ref="C87"/>
    <hyperlink r:id="rId184" ref="E87"/>
    <hyperlink r:id="rId185" ref="C88"/>
    <hyperlink r:id="rId186" ref="E88"/>
    <hyperlink r:id="rId187" ref="C89"/>
    <hyperlink r:id="rId188" ref="E89"/>
    <hyperlink r:id="rId189" ref="C90"/>
    <hyperlink r:id="rId190" ref="E90"/>
    <hyperlink r:id="rId191" ref="G90"/>
    <hyperlink r:id="rId192" ref="C91"/>
    <hyperlink r:id="rId193" ref="E91"/>
    <hyperlink r:id="rId194" ref="C92"/>
    <hyperlink r:id="rId195" ref="E92"/>
    <hyperlink r:id="rId196" ref="C93"/>
    <hyperlink r:id="rId197" ref="E93"/>
    <hyperlink r:id="rId198" ref="G93"/>
    <hyperlink r:id="rId199" ref="C94"/>
    <hyperlink r:id="rId200" ref="E94"/>
    <hyperlink r:id="rId201" ref="G94"/>
    <hyperlink r:id="rId202" ref="C95"/>
    <hyperlink r:id="rId203" ref="E95"/>
    <hyperlink r:id="rId204" ref="C96"/>
    <hyperlink r:id="rId205" ref="E96"/>
    <hyperlink r:id="rId206" ref="G96"/>
    <hyperlink r:id="rId207" ref="C97"/>
    <hyperlink r:id="rId208" ref="E97"/>
    <hyperlink r:id="rId209" ref="C98"/>
    <hyperlink r:id="rId210" ref="E98"/>
    <hyperlink r:id="rId211" ref="C99"/>
    <hyperlink r:id="rId212" ref="E99"/>
    <hyperlink r:id="rId213" ref="C100"/>
    <hyperlink r:id="rId214" ref="E100"/>
    <hyperlink r:id="rId215" ref="C101"/>
    <hyperlink r:id="rId216" ref="E101"/>
    <hyperlink r:id="rId217" ref="C102"/>
    <hyperlink r:id="rId218" ref="E102"/>
    <hyperlink r:id="rId219" ref="C103"/>
    <hyperlink r:id="rId220" ref="E103"/>
    <hyperlink r:id="rId221" ref="C104"/>
    <hyperlink r:id="rId222" ref="E104"/>
    <hyperlink r:id="rId223" ref="C105"/>
    <hyperlink r:id="rId224" ref="E105"/>
    <hyperlink r:id="rId225" ref="G105"/>
    <hyperlink r:id="rId226" ref="C106"/>
    <hyperlink r:id="rId227" ref="E106"/>
    <hyperlink r:id="rId228" ref="G106"/>
    <hyperlink r:id="rId229" ref="C107"/>
    <hyperlink r:id="rId230" ref="E107"/>
    <hyperlink r:id="rId231" ref="C108"/>
    <hyperlink r:id="rId232" ref="E108"/>
    <hyperlink r:id="rId233" ref="G108"/>
    <hyperlink r:id="rId234" ref="C109"/>
    <hyperlink r:id="rId235" ref="E109"/>
    <hyperlink r:id="rId236" ref="C110"/>
    <hyperlink r:id="rId237" ref="E110"/>
    <hyperlink r:id="rId238" ref="C111"/>
    <hyperlink r:id="rId239" ref="E111"/>
    <hyperlink r:id="rId240" ref="C112"/>
    <hyperlink r:id="rId241" ref="E112"/>
    <hyperlink r:id="rId242" ref="C113"/>
    <hyperlink r:id="rId243" ref="E113"/>
    <hyperlink r:id="rId244" ref="C114"/>
    <hyperlink r:id="rId245" ref="E114"/>
    <hyperlink r:id="rId246" ref="C115"/>
    <hyperlink r:id="rId247" ref="E115"/>
    <hyperlink r:id="rId248" location="41e3e926172470ef" ref="G115"/>
    <hyperlink r:id="rId249" ref="C116"/>
    <hyperlink r:id="rId250" ref="E116"/>
    <hyperlink r:id="rId251" ref="C117"/>
    <hyperlink r:id="rId252" ref="E117"/>
    <hyperlink r:id="rId253" ref="C118"/>
    <hyperlink r:id="rId254" ref="E118"/>
    <hyperlink r:id="rId255" ref="C119"/>
    <hyperlink r:id="rId256" ref="E119"/>
    <hyperlink r:id="rId257" ref="C120"/>
    <hyperlink r:id="rId258" ref="E120"/>
    <hyperlink r:id="rId259" ref="C121"/>
    <hyperlink r:id="rId260" ref="E121"/>
    <hyperlink r:id="rId261" ref="C122"/>
    <hyperlink r:id="rId262" ref="E122"/>
    <hyperlink r:id="rId263" ref="C123"/>
    <hyperlink r:id="rId264" ref="E123"/>
    <hyperlink r:id="rId265" ref="C124"/>
    <hyperlink r:id="rId266" ref="E124"/>
    <hyperlink r:id="rId267" ref="C125"/>
    <hyperlink r:id="rId268" ref="E125"/>
    <hyperlink r:id="rId269" ref="G125"/>
    <hyperlink r:id="rId270" ref="C126"/>
    <hyperlink r:id="rId271" ref="E126"/>
    <hyperlink r:id="rId272" ref="C127"/>
    <hyperlink r:id="rId273" ref="E127"/>
    <hyperlink r:id="rId274" ref="C128"/>
    <hyperlink r:id="rId275" ref="E128"/>
    <hyperlink r:id="rId276" ref="G128"/>
    <hyperlink r:id="rId277" ref="C129"/>
    <hyperlink r:id="rId278" ref="E129"/>
    <hyperlink r:id="rId279" ref="C130"/>
    <hyperlink r:id="rId280" ref="E130"/>
    <hyperlink r:id="rId281" ref="G130"/>
    <hyperlink r:id="rId282" ref="C131"/>
    <hyperlink r:id="rId283" ref="E131"/>
    <hyperlink r:id="rId284" ref="C132"/>
    <hyperlink r:id="rId285" ref="E132"/>
    <hyperlink r:id="rId286" ref="C133"/>
    <hyperlink r:id="rId287" ref="E133"/>
    <hyperlink r:id="rId288" ref="C134"/>
    <hyperlink r:id="rId289" ref="E134"/>
    <hyperlink r:id="rId290" ref="C135"/>
    <hyperlink r:id="rId291" ref="E135"/>
    <hyperlink r:id="rId292" ref="G135"/>
    <hyperlink r:id="rId293" ref="C136"/>
    <hyperlink r:id="rId294" ref="E136"/>
    <hyperlink r:id="rId295" ref="G136"/>
    <hyperlink r:id="rId296" ref="C137"/>
    <hyperlink r:id="rId297" ref="E137"/>
    <hyperlink r:id="rId298" ref="C138"/>
    <hyperlink r:id="rId299" ref="E138"/>
    <hyperlink r:id="rId300" ref="C139"/>
    <hyperlink r:id="rId301" ref="E139"/>
    <hyperlink r:id="rId302" ref="C140"/>
    <hyperlink r:id="rId303" ref="E140"/>
    <hyperlink r:id="rId304" ref="C141"/>
    <hyperlink r:id="rId305" ref="E141"/>
    <hyperlink r:id="rId306" ref="G141"/>
    <hyperlink r:id="rId307" ref="C142"/>
    <hyperlink r:id="rId308" ref="E142"/>
    <hyperlink r:id="rId309" ref="C143"/>
    <hyperlink r:id="rId310" ref="E143"/>
    <hyperlink r:id="rId311" ref="G143"/>
    <hyperlink r:id="rId312" ref="C144"/>
    <hyperlink r:id="rId313" ref="E144"/>
    <hyperlink r:id="rId314" ref="C145"/>
    <hyperlink r:id="rId315" ref="E145"/>
    <hyperlink r:id="rId316" ref="C146"/>
    <hyperlink r:id="rId317" ref="E146"/>
    <hyperlink r:id="rId318" ref="C147"/>
    <hyperlink r:id="rId319" ref="E147"/>
    <hyperlink r:id="rId320" ref="C148"/>
    <hyperlink r:id="rId321" ref="E148"/>
    <hyperlink r:id="rId322" ref="G148"/>
    <hyperlink r:id="rId323" ref="C149"/>
    <hyperlink r:id="rId324" ref="E149"/>
    <hyperlink r:id="rId325" ref="C150"/>
    <hyperlink r:id="rId326" ref="E150"/>
    <hyperlink r:id="rId327" ref="C151"/>
    <hyperlink r:id="rId328" ref="E151"/>
    <hyperlink r:id="rId329" ref="G151"/>
    <hyperlink r:id="rId330" ref="C152"/>
    <hyperlink r:id="rId331" ref="E152"/>
    <hyperlink r:id="rId332" ref="C153"/>
    <hyperlink r:id="rId333" ref="E153"/>
    <hyperlink r:id="rId334" ref="C154"/>
    <hyperlink r:id="rId335" ref="E154"/>
    <hyperlink r:id="rId336" ref="C155"/>
    <hyperlink r:id="rId337" ref="E155"/>
    <hyperlink r:id="rId338" ref="G155"/>
    <hyperlink r:id="rId339" ref="C156"/>
    <hyperlink r:id="rId340" ref="E156"/>
    <hyperlink r:id="rId341" ref="C157"/>
    <hyperlink r:id="rId342" ref="E157"/>
    <hyperlink r:id="rId343" ref="G157"/>
    <hyperlink r:id="rId344" ref="C158"/>
    <hyperlink r:id="rId345" ref="E158"/>
    <hyperlink r:id="rId346" ref="C159"/>
    <hyperlink r:id="rId347" ref="E159"/>
    <hyperlink r:id="rId348" ref="G159"/>
    <hyperlink r:id="rId349" ref="C160"/>
    <hyperlink r:id="rId350" ref="E160"/>
    <hyperlink r:id="rId351" ref="C161"/>
    <hyperlink r:id="rId352" ref="E161"/>
    <hyperlink r:id="rId353" ref="C162"/>
    <hyperlink r:id="rId354" ref="E162"/>
    <hyperlink r:id="rId355" ref="C163"/>
    <hyperlink r:id="rId356" ref="E163"/>
    <hyperlink r:id="rId357" ref="C164"/>
    <hyperlink r:id="rId358" ref="E164"/>
    <hyperlink r:id="rId359" ref="G164"/>
    <hyperlink r:id="rId360" ref="C165"/>
    <hyperlink r:id="rId361" ref="E165"/>
    <hyperlink r:id="rId362" ref="C166"/>
    <hyperlink r:id="rId363" ref="E166"/>
    <hyperlink r:id="rId364" ref="C167"/>
    <hyperlink r:id="rId365" ref="E167"/>
    <hyperlink r:id="rId366" ref="C168"/>
    <hyperlink r:id="rId367" ref="E168"/>
    <hyperlink r:id="rId368" ref="C169"/>
    <hyperlink r:id="rId369" ref="E169"/>
    <hyperlink r:id="rId370" ref="C170"/>
    <hyperlink r:id="rId371" ref="E170"/>
    <hyperlink r:id="rId372" ref="C171"/>
    <hyperlink r:id="rId373" ref="E171"/>
    <hyperlink r:id="rId374" ref="C172"/>
    <hyperlink r:id="rId375" ref="E172"/>
    <hyperlink r:id="rId376" ref="C173"/>
    <hyperlink r:id="rId377" ref="E173"/>
    <hyperlink r:id="rId378" ref="C174"/>
    <hyperlink r:id="rId379" ref="E174"/>
    <hyperlink r:id="rId380" ref="C175"/>
    <hyperlink r:id="rId381" ref="E175"/>
    <hyperlink r:id="rId382" ref="C176"/>
    <hyperlink r:id="rId383" ref="E176"/>
    <hyperlink r:id="rId384" ref="C177"/>
    <hyperlink r:id="rId385" ref="E177"/>
    <hyperlink r:id="rId386" ref="C178"/>
    <hyperlink r:id="rId387" ref="E178"/>
    <hyperlink r:id="rId388" ref="G178"/>
    <hyperlink r:id="rId389" ref="C179"/>
    <hyperlink r:id="rId390" ref="E179"/>
    <hyperlink r:id="rId391" ref="C180"/>
    <hyperlink r:id="rId392" ref="E180"/>
    <hyperlink r:id="rId393" ref="C181"/>
    <hyperlink r:id="rId394" ref="E181"/>
    <hyperlink r:id="rId395" ref="G181"/>
    <hyperlink r:id="rId396" ref="C182"/>
    <hyperlink r:id="rId397" ref="E182"/>
    <hyperlink r:id="rId398" ref="C183"/>
    <hyperlink r:id="rId399" ref="E183"/>
    <hyperlink r:id="rId400" ref="C184"/>
    <hyperlink r:id="rId401" ref="E184"/>
    <hyperlink r:id="rId402" ref="C185"/>
    <hyperlink r:id="rId403" ref="E185"/>
    <hyperlink r:id="rId404" ref="C186"/>
    <hyperlink r:id="rId405" ref="E186"/>
    <hyperlink r:id="rId406" ref="C187"/>
    <hyperlink r:id="rId407" ref="E187"/>
    <hyperlink r:id="rId408" ref="C188"/>
    <hyperlink r:id="rId409" ref="D188"/>
    <hyperlink r:id="rId410" ref="E188"/>
    <hyperlink r:id="rId411" ref="C189"/>
    <hyperlink r:id="rId412" ref="E189"/>
    <hyperlink r:id="rId413" ref="C190"/>
    <hyperlink r:id="rId414" ref="E190"/>
    <hyperlink r:id="rId415" ref="C191"/>
    <hyperlink r:id="rId416" ref="E191"/>
    <hyperlink r:id="rId417" ref="C192"/>
    <hyperlink r:id="rId418" ref="E192"/>
    <hyperlink r:id="rId419" ref="C193"/>
    <hyperlink r:id="rId420" ref="E193"/>
    <hyperlink r:id="rId421" ref="G193"/>
    <hyperlink r:id="rId422" ref="C194"/>
    <hyperlink r:id="rId423" ref="E194"/>
    <hyperlink r:id="rId424" ref="C195"/>
    <hyperlink r:id="rId425" ref="E195"/>
    <hyperlink r:id="rId426" ref="C196"/>
    <hyperlink r:id="rId427" ref="G196"/>
    <hyperlink r:id="rId428" ref="C197"/>
    <hyperlink r:id="rId429" ref="E197"/>
    <hyperlink r:id="rId430" ref="C198"/>
    <hyperlink r:id="rId431" ref="E198"/>
    <hyperlink r:id="rId432" ref="C199"/>
    <hyperlink r:id="rId433" ref="E199"/>
    <hyperlink r:id="rId434" ref="C200"/>
    <hyperlink r:id="rId435" ref="E200"/>
    <hyperlink r:id="rId436" ref="G200"/>
    <hyperlink r:id="rId437" ref="C201"/>
    <hyperlink r:id="rId438" ref="E201"/>
    <hyperlink r:id="rId439" ref="C202"/>
    <hyperlink r:id="rId440" ref="E202"/>
    <hyperlink r:id="rId441" ref="G202"/>
    <hyperlink r:id="rId442" ref="C203"/>
    <hyperlink r:id="rId443" ref="E203"/>
    <hyperlink r:id="rId444" ref="C204"/>
    <hyperlink r:id="rId445" ref="E204"/>
    <hyperlink r:id="rId446" ref="C205"/>
    <hyperlink r:id="rId447" ref="E205"/>
    <hyperlink r:id="rId448" ref="C206"/>
    <hyperlink r:id="rId449" ref="E206"/>
    <hyperlink r:id="rId450" ref="C207"/>
    <hyperlink r:id="rId451" ref="E207"/>
    <hyperlink r:id="rId452" ref="C208"/>
    <hyperlink r:id="rId453" ref="E208"/>
    <hyperlink r:id="rId454" ref="C209"/>
    <hyperlink r:id="rId455" ref="E209"/>
    <hyperlink r:id="rId456" ref="C210"/>
    <hyperlink r:id="rId457" ref="E210"/>
    <hyperlink r:id="rId458" ref="C211"/>
    <hyperlink r:id="rId459" ref="E211"/>
    <hyperlink r:id="rId460" location="067066a69e5222b7" ref="I211"/>
    <hyperlink r:id="rId461" ref="C212"/>
    <hyperlink r:id="rId462" ref="E212"/>
    <hyperlink r:id="rId463" ref="C213"/>
    <hyperlink r:id="rId464" ref="E213"/>
    <hyperlink r:id="rId465" ref="C214"/>
    <hyperlink r:id="rId466" ref="E214"/>
    <hyperlink r:id="rId467" ref="C215"/>
    <hyperlink r:id="rId468" ref="E215"/>
    <hyperlink r:id="rId469" ref="C216"/>
    <hyperlink r:id="rId470" ref="E216"/>
    <hyperlink r:id="rId471" ref="C217"/>
    <hyperlink r:id="rId472" ref="E217"/>
    <hyperlink r:id="rId473" ref="C218"/>
    <hyperlink r:id="rId474" ref="E218"/>
    <hyperlink r:id="rId475" ref="G218"/>
    <hyperlink r:id="rId476" ref="C219"/>
    <hyperlink r:id="rId477" ref="E219"/>
    <hyperlink r:id="rId478" ref="C220"/>
    <hyperlink r:id="rId479" ref="E220"/>
    <hyperlink r:id="rId480" ref="C221"/>
    <hyperlink r:id="rId481" ref="E221"/>
    <hyperlink r:id="rId482" ref="C222"/>
    <hyperlink r:id="rId483" ref="E222"/>
    <hyperlink r:id="rId484" ref="C223"/>
    <hyperlink r:id="rId485" ref="E223"/>
    <hyperlink r:id="rId486" ref="C224"/>
    <hyperlink r:id="rId487" ref="E224"/>
    <hyperlink r:id="rId488" ref="C225"/>
  </hyperlinks>
  <drawing r:id="rId489"/>
</worksheet>
</file>